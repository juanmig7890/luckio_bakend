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asos caja blanca" sheetId="2" state="visible" r:id="rId4"/>
    <sheet name="Casos caja negra" sheetId="3" state="visible" r:id="rId5"/>
    <sheet name="Cobertura - casos mínimos" sheetId="4" state="visible" r:id="rId6"/>
    <sheet name="Cobertura medida" sheetId="5" state="visible" r:id="rId7"/>
    <sheet name="Complejidad ciclomática" sheetId="6" state="visible" r:id="rId8"/>
    <sheet name="Defectos" sheetId="7" state="visible" r:id="rId9"/>
    <sheet name="Mutación" sheetId="8" state="visible" r:id="rId10"/>
    <sheet name="Trazabilidad regla-casos" sheetId="9" state="visible" r:id="rId11"/>
  </sheets>
  <definedNames>
    <definedName function="false" hidden="true" localSheetId="1" name="_xlnm._FilterDatabase" vbProcedure="false">'Casos caja blanca'!$A$1:$M$73</definedName>
    <definedName function="false" hidden="true" localSheetId="2" name="_xlnm._FilterDatabase" vbProcedure="false">'Casos caja negra'!$A$1:$K$233</definedName>
    <definedName function="false" hidden="true" localSheetId="3" name="_xlnm._FilterDatabase" vbProcedure="false">'Cobertura - casos mínimos'!$A$1:$I$31</definedName>
    <definedName function="false" hidden="true" localSheetId="4" name="_xlnm._FilterDatabase" vbProcedure="false">'Cobertura medida'!$A$1:$I$7</definedName>
    <definedName function="false" hidden="true" localSheetId="5" name="_xlnm._FilterDatabase" vbProcedure="false">'Complejidad ciclomática'!$A$1:$F$7</definedName>
    <definedName function="false" hidden="true" localSheetId="6" name="_xlnm._FilterDatabase" vbProcedure="false">Defectos!$A$1:$J$6</definedName>
    <definedName function="false" hidden="true" localSheetId="7" name="_xlnm._FilterDatabase" vbProcedure="false">Mutación!$A$1:$G$29</definedName>
    <definedName function="false" hidden="true" localSheetId="8" name="_xlnm._FilterDatabase" vbProcedure="false">'Trazabilidad regla-casos'!$A$1:$D$188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<sst xmlns="http://schemas.openxmlformats.org/spreadsheetml/2006/main" count="4588" uniqueCount="1726">
  <si>
    <t xml:space="preserve">LUCK.IO — Resumen de ejecución de pruebas (Entrega 1)</t>
  </si>
  <si>
    <t xml:space="preserve">Modelado, Verificación y Pruebas · Pontificia Universidad Javeriana Cali · Abraham Waggon, Lupi Andrés Mendoza, Juan Miguel Cáceres</t>
  </si>
  <si>
    <t xml:space="preserve">Indicador</t>
  </si>
  <si>
    <t xml:space="preserve">Caja blanca</t>
  </si>
  <si>
    <t xml:space="preserve">Caja negra</t>
  </si>
  <si>
    <t xml:space="preserve">Total</t>
  </si>
  <si>
    <t xml:space="preserve">Casos diseñados</t>
  </si>
  <si>
    <t xml:space="preserve">Ciclo 1 (código original): pasaron</t>
  </si>
  <si>
    <t xml:space="preserve">Ciclo 1: fallaron</t>
  </si>
  <si>
    <t xml:space="preserve">Ciclo 1: % de casos exitosos</t>
  </si>
  <si>
    <t xml:space="preserve">Ciclo 2 (código corregido): pasaron</t>
  </si>
  <si>
    <t xml:space="preserve">Ciclo 2: fallaron</t>
  </si>
  <si>
    <t xml:space="preserve">Ciclo 2: % de casos exitosos</t>
  </si>
  <si>
    <t xml:space="preserve">Criterio de salida: ≥ 90% de casos exitosos</t>
  </si>
  <si>
    <t xml:space="preserve">Defectos encontrados (Ciclo 1)</t>
  </si>
  <si>
    <t xml:space="preserve">Defectos distintos</t>
  </si>
  <si>
    <t xml:space="preserve">Defectos corregidos</t>
  </si>
  <si>
    <t xml:space="preserve">Puntaje de mutación</t>
  </si>
  <si>
    <t xml:space="preserve">Cobertura de sentencias (funciones de caja blanca)</t>
  </si>
  <si>
    <t xml:space="preserve">Cobertura de ramas (funciones de caja blanca)</t>
  </si>
  <si>
    <t xml:space="preserve">Hojas: Casos caja blanca · Casos caja negra · Cobertura - casos mínimos · Cobertura medida · Complejidad ciclomática · Defectos · Mutación · Trazabilidad regla-casos</t>
  </si>
  <si>
    <t xml:space="preserve">Técnicas de caja negra: EP = partición de equivalencia, VL = valores límite, TD = tabla de decisión, TE = transición de estados, ES = escenarios.</t>
  </si>
  <si>
    <t xml:space="preserve">ID Caso</t>
  </si>
  <si>
    <t xml:space="preserve">Función</t>
  </si>
  <si>
    <t xml:space="preserve">Archivo</t>
  </si>
  <si>
    <t xml:space="preserve">Objetivo</t>
  </si>
  <si>
    <t xml:space="preserve">Datos de entrada</t>
  </si>
  <si>
    <t xml:space="preserve">Recorrido (camino en el grafo)</t>
  </si>
  <si>
    <t xml:space="preserve">Cubre (S=sentencia D=decisión C=condición P=caminos)</t>
  </si>
  <si>
    <t xml:space="preserve">Condiciones</t>
  </si>
  <si>
    <t xml:space="preserve">Resultado esperado</t>
  </si>
  <si>
    <t xml:space="preserve">Obtenido Ciclo 1 (código original)</t>
  </si>
  <si>
    <t xml:space="preserve">Estado C1</t>
  </si>
  <si>
    <t xml:space="preserve">Obtenido Ciclo 2 (código corregido)</t>
  </si>
  <si>
    <t xml:space="preserve">Estado C2</t>
  </si>
  <si>
    <t xml:space="preserve">CB-RNG-01</t>
  </si>
  <si>
    <t xml:space="preserve">weightedPick</t>
  </si>
  <si>
    <t xml:space="preserve">src/utils/rng.js</t>
  </si>
  <si>
    <t xml:space="preserve">Salida rápida: el ciclo entra y el if se cumple en la 1.ª vuelta</t>
  </si>
  <si>
    <t xml:space="preserve">items=[Cereza w50, Jackpot w10], r=20</t>
  </si>
  <si>
    <t xml:space="preserve">Inicio→N1→N2(Sí)→N3(True)→N4→Fin</t>
  </si>
  <si>
    <t xml:space="preserve">S, D, P</t>
  </si>
  <si>
    <t xml:space="preserve">for=Sí, if=True</t>
  </si>
  <si>
    <t xml:space="preserve">'Cereza'</t>
  </si>
  <si>
    <t xml:space="preserve">PASÓ</t>
  </si>
  <si>
    <t xml:space="preserve">CB-RNG-02</t>
  </si>
  <si>
    <t xml:space="preserve">Resta de peso y gana en la 2.ª vuelta</t>
  </si>
  <si>
    <t xml:space="preserve">items=[Cereza w50, Jackpot w10], r=55</t>
  </si>
  <si>
    <t xml:space="preserve">Inicio→N1→N2(Sí)→N3(False)→N5→N2(Sí)→N3(True)→N4→Fin</t>
  </si>
  <si>
    <t xml:space="preserve">if=False y luego True</t>
  </si>
  <si>
    <t xml:space="preserve">'Jackpot'</t>
  </si>
  <si>
    <t xml:space="preserve">CB-RNG-03</t>
  </si>
  <si>
    <t xml:space="preserve">Retorno de seguridad (failsafe): el ciclo termina sin ganar</t>
  </si>
  <si>
    <t xml:space="preserve">items=[Cereza w50, Jackpot w10], r=100 (valor imposible inyectado)</t>
  </si>
  <si>
    <t xml:space="preserve">Inicio→N1→N2(Sí)→N3(F)→N5→N2(Sí)→N3(F)→N5→N2(No)→N6→Fin</t>
  </si>
  <si>
    <t xml:space="preserve">for=No</t>
  </si>
  <si>
    <t xml:space="preserve">CB-RNG-04</t>
  </si>
  <si>
    <t xml:space="preserve">Ciclo con 0 iteraciones (lista vacía) va directo al retorno de seguridad</t>
  </si>
  <si>
    <t xml:space="preserve">items=[], r=0</t>
  </si>
  <si>
    <t xml:space="preserve">Inicio→N1→N2(No)→N6→Fin</t>
  </si>
  <si>
    <t xml:space="preserve">P</t>
  </si>
  <si>
    <t xml:space="preserve">for=No desde el inicio</t>
  </si>
  <si>
    <t xml:space="preserve">undefined</t>
  </si>
  <si>
    <t xml:space="preserve">CB-RNG-05</t>
  </si>
  <si>
    <t xml:space="preserve">Límite superior del primer ítem: r=49 (&lt; 50) todavía gana Cereza</t>
  </si>
  <si>
    <t xml:space="preserve">items=[Cereza w50, Jackpot w10], r=49</t>
  </si>
  <si>
    <t xml:space="preserve">Inicio→N1→N2→N3(True)→N4→Fin</t>
  </si>
  <si>
    <t xml:space="preserve">D</t>
  </si>
  <si>
    <t xml:space="preserve">if: 49&lt;50 = True</t>
  </si>
  <si>
    <t xml:space="preserve">CB-RNG-06</t>
  </si>
  <si>
    <t xml:space="preserve">Límite: r=50 ya NO es del primer ítem (50&lt;50 es falso) y pasa al Jackpot</t>
  </si>
  <si>
    <t xml:space="preserve">items=[Cereza w50, Jackpot w10], r=50</t>
  </si>
  <si>
    <t xml:space="preserve">Inicio→N1→N2→N3(False)→N5→N2→N3(True)→N4→Fin</t>
  </si>
  <si>
    <t xml:space="preserve">if: 50&lt;50 = False; luego 0&lt;10 = True</t>
  </si>
  <si>
    <t xml:space="preserve">CB-RNG-07</t>
  </si>
  <si>
    <t xml:space="preserve">Una sola opción: con el sorteo real siempre devuelve esa opción</t>
  </si>
  <si>
    <t xml:space="preserve">items=[Unico w5], sorteo real</t>
  </si>
  <si>
    <t xml:space="preserve">S</t>
  </si>
  <si>
    <t xml:space="preserve">r=0 siempre</t>
  </si>
  <si>
    <t xml:space="preserve">'Unico'</t>
  </si>
  <si>
    <t xml:space="preserve">CB-RNG-08</t>
  </si>
  <si>
    <t xml:space="preserve">Tres opciones: el peso restado debe acumularse bien (r=60 cae en la 2.ª, no en la última). Caso agregado tras la prueba de mutación</t>
  </si>
  <si>
    <t xml:space="preserve">items=[A w50, B w30, C w20], r=60</t>
  </si>
  <si>
    <t xml:space="preserve">Inicio→N1→N2→N3(F)→N5→N2→N3(V)→N4→Fin</t>
  </si>
  <si>
    <t xml:space="preserve">D, P</t>
  </si>
  <si>
    <t xml:space="preserve">if: 60&lt;50=F; 10&lt;30=V</t>
  </si>
  <si>
    <t xml:space="preserve">'B'</t>
  </si>
  <si>
    <t xml:space="preserve">CB-VIP-01</t>
  </si>
  <si>
    <t xml:space="preserve">calculateVipLevel</t>
  </si>
  <si>
    <t xml:space="preserve">src/utils/vip.js</t>
  </si>
  <si>
    <t xml:space="preserve">Camino VIP: total muy alto</t>
  </si>
  <si>
    <t xml:space="preserve">totalWagered = 60000</t>
  </si>
  <si>
    <t xml:space="preserve">Inicio→N1(V)→N2→Fin</t>
  </si>
  <si>
    <t xml:space="preserve">S, D, C, P</t>
  </si>
  <si>
    <t xml:space="preserve">una sola condición por decisión</t>
  </si>
  <si>
    <t xml:space="preserve">'VIP LUCK.IO'</t>
  </si>
  <si>
    <t xml:space="preserve">CB-VIP-02</t>
  </si>
  <si>
    <t xml:space="preserve">Límite exacto 50,000 ya es VIP (&gt;=)</t>
  </si>
  <si>
    <t xml:space="preserve">totalWagered = 50000</t>
  </si>
  <si>
    <t xml:space="preserve">CB-VIP-03</t>
  </si>
  <si>
    <t xml:space="preserve">Límite 49,999 todavía es Oro</t>
  </si>
  <si>
    <t xml:space="preserve">totalWagered = 49999</t>
  </si>
  <si>
    <t xml:space="preserve">Inicio→N1(F)→N3(V)→N4→Fin</t>
  </si>
  <si>
    <t xml:space="preserve">'Oro'</t>
  </si>
  <si>
    <t xml:space="preserve">CB-VIP-04</t>
  </si>
  <si>
    <t xml:space="preserve">Camino Oro: total intermedio</t>
  </si>
  <si>
    <t xml:space="preserve">totalWagered = 25000</t>
  </si>
  <si>
    <t xml:space="preserve">CB-VIP-05</t>
  </si>
  <si>
    <t xml:space="preserve">Límite exacto 20,000 ya es Oro</t>
  </si>
  <si>
    <t xml:space="preserve">totalWagered = 20000</t>
  </si>
  <si>
    <t xml:space="preserve">CB-VIP-06</t>
  </si>
  <si>
    <t xml:space="preserve">Límite 19,999 todavía es Plata</t>
  </si>
  <si>
    <t xml:space="preserve">totalWagered = 19999</t>
  </si>
  <si>
    <t xml:space="preserve">Inicio→N1(F)→N3(F)→N5(V)→N6→Fin</t>
  </si>
  <si>
    <t xml:space="preserve">'Plata'</t>
  </si>
  <si>
    <t xml:space="preserve">CB-VIP-07</t>
  </si>
  <si>
    <t xml:space="preserve">Camino Plata: total intermedio</t>
  </si>
  <si>
    <t xml:space="preserve">totalWagered = 7000</t>
  </si>
  <si>
    <t xml:space="preserve">CB-VIP-08</t>
  </si>
  <si>
    <t xml:space="preserve">Límite exacto 5,000 ya es Plata</t>
  </si>
  <si>
    <t xml:space="preserve">totalWagered = 5000</t>
  </si>
  <si>
    <t xml:space="preserve">CB-VIP-09</t>
  </si>
  <si>
    <t xml:space="preserve">Límite 4,999 sigue en Bronce</t>
  </si>
  <si>
    <t xml:space="preserve">totalWagered = 4999</t>
  </si>
  <si>
    <t xml:space="preserve">Inicio→N1(F)→N3(F)→N5(F)→N7→Fin</t>
  </si>
  <si>
    <t xml:space="preserve">'Bronce'</t>
  </si>
  <si>
    <t xml:space="preserve">CB-VIP-10</t>
  </si>
  <si>
    <t xml:space="preserve">Camino Bronce: usuario nuevo sin apuestas</t>
  </si>
  <si>
    <t xml:space="preserve">totalWagered = 0</t>
  </si>
  <si>
    <t xml:space="preserve">CB-HS-01</t>
  </si>
  <si>
    <t xml:space="preserve">handScore (+ cardValue)</t>
  </si>
  <si>
    <t xml:space="preserve">src/services/blackjackRules.js</t>
  </si>
  <si>
    <t xml:space="preserve">Mano vacía: el for no entra (0 iteraciones) y el while no se evalúa a verdadero</t>
  </si>
  <si>
    <t xml:space="preserve">[]</t>
  </si>
  <si>
    <t xml:space="preserve">Inicio→N1→N2(No)→N6(F)→N9→Fin</t>
  </si>
  <si>
    <t xml:space="preserve">A(total&gt;21)=F, B(aces&gt;0)=F</t>
  </si>
  <si>
    <t xml:space="preserve">0</t>
  </si>
  <si>
    <t xml:space="preserve">CB-HS-02</t>
  </si>
  <si>
    <t xml:space="preserve">Dos cartas sin As: suma simple</t>
  </si>
  <si>
    <t xml:space="preserve">7♠ 5♠</t>
  </si>
  <si>
    <t xml:space="preserve">N2(Sí)→N3→N4(F)→N2…→N6(F)→N9</t>
  </si>
  <si>
    <t xml:space="preserve">S, D, C, MC</t>
  </si>
  <si>
    <t xml:space="preserve">A=F, B=F</t>
  </si>
  <si>
    <t xml:space="preserve">12</t>
  </si>
  <si>
    <t xml:space="preserve">CB-HS-03</t>
  </si>
  <si>
    <t xml:space="preserve">As + 6 = 17 suave: el As cuenta 11 y no hay que ajustar</t>
  </si>
  <si>
    <t xml:space="preserve">A♠ 6♠</t>
  </si>
  <si>
    <t xml:space="preserve">N4(V)→N5→N2…→N6(F)→N9</t>
  </si>
  <si>
    <t xml:space="preserve">MC, C</t>
  </si>
  <si>
    <t xml:space="preserve">A=F, B=V (aces=1)</t>
  </si>
  <si>
    <t xml:space="preserve">17</t>
  </si>
  <si>
    <t xml:space="preserve">CB-HS-04</t>
  </si>
  <si>
    <t xml:space="preserve">As + 6 + 9 = 26: el As baja de 11 a 1 (1 vuelta del while)</t>
  </si>
  <si>
    <t xml:space="preserve">A♠ 6♠ 9♠</t>
  </si>
  <si>
    <t xml:space="preserve">…N6(V)→N7(V)→N8→N6(F)→N9</t>
  </si>
  <si>
    <t xml:space="preserve">S, D, C, MC, P</t>
  </si>
  <si>
    <t xml:space="preserve">A=V,B=V y luego A=F</t>
  </si>
  <si>
    <t xml:space="preserve">16</t>
  </si>
  <si>
    <t xml:space="preserve">CB-HS-05</t>
  </si>
  <si>
    <t xml:space="preserve">Se pasa de 21 sin ningún As: no hay nada que ajustar</t>
  </si>
  <si>
    <t xml:space="preserve">K♠ 9♠ 5♠</t>
  </si>
  <si>
    <t xml:space="preserve">…N6(V)→N7(F)→N9</t>
  </si>
  <si>
    <t xml:space="preserve">C, MC, P</t>
  </si>
  <si>
    <t xml:space="preserve">A=V, B=F</t>
  </si>
  <si>
    <t xml:space="preserve">24</t>
  </si>
  <si>
    <t xml:space="preserve">CB-HS-06</t>
  </si>
  <si>
    <t xml:space="preserve">Dos Ases + 9: solo un As baja a 1 y se queda en 21</t>
  </si>
  <si>
    <t xml:space="preserve">A♠ A♠ 9♠</t>
  </si>
  <si>
    <t xml:space="preserve">21</t>
  </si>
  <si>
    <t xml:space="preserve">CB-HS-07</t>
  </si>
  <si>
    <t xml:space="preserve">While con 2 vueltas: dos Ases bajan a 1</t>
  </si>
  <si>
    <t xml:space="preserve">A♠ A♠ K♠ 5♠</t>
  </si>
  <si>
    <t xml:space="preserve">…(N6→N7→N8)×2→N6(F)→N9</t>
  </si>
  <si>
    <t xml:space="preserve">A=V,B=V ×2, luego A=F</t>
  </si>
  <si>
    <t xml:space="preserve">CB-HS-08</t>
  </si>
  <si>
    <t xml:space="preserve">Blackjack natural A+K = 21 (valor de figuras en cardValue)</t>
  </si>
  <si>
    <t xml:space="preserve">A♠ K♠</t>
  </si>
  <si>
    <t xml:space="preserve">N4(V)→…→N6(F)→N9</t>
  </si>
  <si>
    <t xml:space="preserve">cardValue: ACE y figura</t>
  </si>
  <si>
    <t xml:space="preserve">CB-HS-09</t>
  </si>
  <si>
    <t xml:space="preserve">Figuras J y Q valen 10 cada una (ramas de cardValue)</t>
  </si>
  <si>
    <t xml:space="preserve">J♠ Q♠</t>
  </si>
  <si>
    <t xml:space="preserve">N2→N3→…→N9</t>
  </si>
  <si>
    <t xml:space="preserve">cardValue: JACK, QUEEN</t>
  </si>
  <si>
    <t xml:space="preserve">20</t>
  </si>
  <si>
    <t xml:space="preserve">CB-HS-10</t>
  </si>
  <si>
    <t xml:space="preserve">El "10" se escribe como texto y también vale 10 (rama numérica de cardValue)</t>
  </si>
  <si>
    <t xml:space="preserve">10♠ 5♠</t>
  </si>
  <si>
    <t xml:space="preserve">cardValue: Number("10")</t>
  </si>
  <si>
    <t xml:space="preserve">15</t>
  </si>
  <si>
    <t xml:space="preserve">CB-HS-11</t>
  </si>
  <si>
    <t xml:space="preserve">Cinco Ases: el while corre 4 veces y se detiene en 15 (prueba del ciclo n veces)</t>
  </si>
  <si>
    <t xml:space="preserve">A♠ ×5</t>
  </si>
  <si>
    <t xml:space="preserve">…(N6→N7→N8)×4→N6(F)→N9</t>
  </si>
  <si>
    <t xml:space="preserve">bucle while 4 iteraciones</t>
  </si>
  <si>
    <t xml:space="preserve">CB-SP-01</t>
  </si>
  <si>
    <t xml:space="preserve">canSplit</t>
  </si>
  <si>
    <t xml:space="preserve">C1 falsa: no hay mano</t>
  </si>
  <si>
    <t xml:space="preserve">hand=null, handCount=1</t>
  </si>
  <si>
    <t xml:space="preserve">C1(F)→N6</t>
  </si>
  <si>
    <t xml:space="preserve">D, C, MC</t>
  </si>
  <si>
    <t xml:space="preserve">C1=F</t>
  </si>
  <si>
    <t xml:space="preserve">false</t>
  </si>
  <si>
    <t xml:space="preserve">CB-SP-02</t>
  </si>
  <si>
    <t xml:space="preserve">C2 falsa: la mano tiene 3 cartas</t>
  </si>
  <si>
    <t xml:space="preserve">8♠ 8♠ 2♠, handCount=1</t>
  </si>
  <si>
    <t xml:space="preserve">C1(V)→C2(F)→N6</t>
  </si>
  <si>
    <t xml:space="preserve">C, MC</t>
  </si>
  <si>
    <t xml:space="preserve">C1=V, C2=F</t>
  </si>
  <si>
    <t xml:space="preserve">CB-SP-03</t>
  </si>
  <si>
    <t xml:space="preserve">C3 falsa: dos cartas de distinto valor</t>
  </si>
  <si>
    <t xml:space="preserve">8♠ 9♠, handCount=1</t>
  </si>
  <si>
    <t xml:space="preserve">C1(V)→C2(V)→C3(F)→N6</t>
  </si>
  <si>
    <t xml:space="preserve">C1=V, C2=V, C3=F</t>
  </si>
  <si>
    <t xml:space="preserve">CB-SP-04</t>
  </si>
  <si>
    <t xml:space="preserve">C4 falsa (límite): ya hay 4 manos, no se puede dividir más</t>
  </si>
  <si>
    <t xml:space="preserve">8♠ 8♠, handCount=4</t>
  </si>
  <si>
    <t xml:space="preserve">C1(V)→C2(V)→C3(V)→C4(F)→N6</t>
  </si>
  <si>
    <t xml:space="preserve">C1,C2,C3=V, C4=F</t>
  </si>
  <si>
    <t xml:space="preserve">CB-SP-05</t>
  </si>
  <si>
    <t xml:space="preserve">C5 falsa: la mano viene de dividir Ases (no se re-divide)</t>
  </si>
  <si>
    <t xml:space="preserve">A♠ A♠ con splitAce=true, handCount=2</t>
  </si>
  <si>
    <t xml:space="preserve">C1..C4(V)→N5 (C5 falsa: devuelve false)</t>
  </si>
  <si>
    <t xml:space="preserve">C1..C4=V, C5=F</t>
  </si>
  <si>
    <t xml:space="preserve">CB-SP-06</t>
  </si>
  <si>
    <t xml:space="preserve">Todas verdaderas: par de 8 con 1 sola mano</t>
  </si>
  <si>
    <t xml:space="preserve">8♠ 8♠, handCount=1</t>
  </si>
  <si>
    <t xml:space="preserve">C1..C4(V)→N5 (C5 verdadera: devuelve true)</t>
  </si>
  <si>
    <t xml:space="preserve">C1..C5=V</t>
  </si>
  <si>
    <t xml:space="preserve">true</t>
  </si>
  <si>
    <t xml:space="preserve">CB-SP-07</t>
  </si>
  <si>
    <t xml:space="preserve">K y Q valen 10 los dos: se pueden dividir aunque sean figuras distintas</t>
  </si>
  <si>
    <t xml:space="preserve">K♠ Q♠, handCount=1</t>
  </si>
  <si>
    <t xml:space="preserve">C</t>
  </si>
  <si>
    <t xml:space="preserve">C3: 10 === 10</t>
  </si>
  <si>
    <t xml:space="preserve">CB-SP-08</t>
  </si>
  <si>
    <t xml:space="preserve">Límite: con 3 manos aún se puede (3 &lt; 4)</t>
  </si>
  <si>
    <t xml:space="preserve">8♠ 8♠, handCount=3</t>
  </si>
  <si>
    <t xml:space="preserve">C4: 3&lt;4 = V</t>
  </si>
  <si>
    <t xml:space="preserve">CB-SP-09</t>
  </si>
  <si>
    <t xml:space="preserve">Par de Ases en la primera división sí se permite (splitAce no definido)</t>
  </si>
  <si>
    <t xml:space="preserve">A♠ A♠, handCount=1</t>
  </si>
  <si>
    <t xml:space="preserve">C5: !undefined = V</t>
  </si>
  <si>
    <t xml:space="preserve">CB-BD-01</t>
  </si>
  <si>
    <t xml:space="preserve">bankerDraws</t>
  </si>
  <si>
    <t xml:space="preserve">src/services/baccaratRules.js</t>
  </si>
  <si>
    <t xml:space="preserve">El Punto se plantó (sin 3.ª carta) y la Banca tiene 5: pide</t>
  </si>
  <si>
    <t xml:space="preserve">bankerTotal=5, terceraCartaPunto=ninguna</t>
  </si>
  <si>
    <t xml:space="preserve">S, D, C</t>
  </si>
  <si>
    <t xml:space="preserve">!playerThird=V</t>
  </si>
  <si>
    <t xml:space="preserve">CB-BD-02</t>
  </si>
  <si>
    <t xml:space="preserve">El Punto se plantó y la Banca tiene 6: se planta</t>
  </si>
  <si>
    <t xml:space="preserve">bankerTotal=6, terceraCartaPunto=ninguna</t>
  </si>
  <si>
    <t xml:space="preserve">!playerThird=V; 6&lt;=5=F</t>
  </si>
  <si>
    <t xml:space="preserve">CB-BD-03</t>
  </si>
  <si>
    <t xml:space="preserve">Banca 0 siempre pide (case 0)</t>
  </si>
  <si>
    <t xml:space="preserve">bankerTotal=0, terceraCartaPunto=9</t>
  </si>
  <si>
    <t xml:space="preserve">Inicio→N1(F)→N3→N4(V)→N11→Fin</t>
  </si>
  <si>
    <t xml:space="preserve">case 0</t>
  </si>
  <si>
    <t xml:space="preserve">CB-BD-04</t>
  </si>
  <si>
    <t xml:space="preserve">Banca 1 siempre pide (case 1)</t>
  </si>
  <si>
    <t xml:space="preserve">bankerTotal=1, terceraCartaPunto=5</t>
  </si>
  <si>
    <t xml:space="preserve">Inicio→N1(F)→N3→N4(F)→N5(V)→N11</t>
  </si>
  <si>
    <t xml:space="preserve">case 1</t>
  </si>
  <si>
    <t xml:space="preserve">CB-BD-05</t>
  </si>
  <si>
    <t xml:space="preserve">Banca 2 siempre pide (case 2)</t>
  </si>
  <si>
    <t xml:space="preserve">bankerTotal=2, terceraCartaPunto=8</t>
  </si>
  <si>
    <t xml:space="preserve">Inicio→N1(F)→N3→…→N6(V)→N11</t>
  </si>
  <si>
    <t xml:space="preserve">case 2</t>
  </si>
  <si>
    <t xml:space="preserve">CB-BD-06</t>
  </si>
  <si>
    <t xml:space="preserve">Banca 3 NO pide si la 3.ª del Punto es 8</t>
  </si>
  <si>
    <t xml:space="preserve">bankerTotal=3, terceraCartaPunto=8</t>
  </si>
  <si>
    <t xml:space="preserve">Inicio→N7(V)→N12→Fin</t>
  </si>
  <si>
    <t xml:space="preserve">case 3: p!==8 = F</t>
  </si>
  <si>
    <t xml:space="preserve">CB-BD-07</t>
  </si>
  <si>
    <t xml:space="preserve">Banca 3 pide si la 3.ª del Punto es 7</t>
  </si>
  <si>
    <t xml:space="preserve">bankerTotal=3, terceraCartaPunto=7</t>
  </si>
  <si>
    <t xml:space="preserve">case 3: p!==8 = V</t>
  </si>
  <si>
    <t xml:space="preserve">CB-BD-08</t>
  </si>
  <si>
    <t xml:space="preserve">Banca 4 NO pide si la 3.ª del Punto es As (p=1)</t>
  </si>
  <si>
    <t xml:space="preserve">bankerTotal=4, terceraCartaPunto=ACE</t>
  </si>
  <si>
    <t xml:space="preserve">Inicio→N8(V)→N13(F)→N19</t>
  </si>
  <si>
    <t xml:space="preserve">D, C, MC, P</t>
  </si>
  <si>
    <t xml:space="preserve">A4: p&gt;=2 = F</t>
  </si>
  <si>
    <t xml:space="preserve">CB-BD-09</t>
  </si>
  <si>
    <t xml:space="preserve">Banca 4 pide con 3.ª del Punto = 2 (límite inferior)</t>
  </si>
  <si>
    <t xml:space="preserve">bankerTotal=4, terceraCartaPunto=2</t>
  </si>
  <si>
    <t xml:space="preserve">Inicio→N8(V)→N13(V)→N14</t>
  </si>
  <si>
    <t xml:space="preserve">A4=V, B4: 2&lt;=7 = V</t>
  </si>
  <si>
    <t xml:space="preserve">CB-BD-10</t>
  </si>
  <si>
    <t xml:space="preserve">Banca 4 NO pide con 3.ª del Punto = 8</t>
  </si>
  <si>
    <t xml:space="preserve">bankerTotal=4, terceraCartaPunto=8</t>
  </si>
  <si>
    <t xml:space="preserve">Inicio→N8(V)→N13(V)→N14→Fin</t>
  </si>
  <si>
    <t xml:space="preserve">A4=V, B4: 8&lt;=7 = F</t>
  </si>
  <si>
    <t xml:space="preserve">CB-BD-11</t>
  </si>
  <si>
    <t xml:space="preserve">Banca 4 NO pide si la 3.ª del Punto vale 0 (figura K)</t>
  </si>
  <si>
    <t xml:space="preserve">bankerTotal=4, terceraCartaPunto=KING</t>
  </si>
  <si>
    <t xml:space="preserve">p=0: A4=F</t>
  </si>
  <si>
    <t xml:space="preserve">CB-BD-12</t>
  </si>
  <si>
    <t xml:space="preserve">Banca 5 NO pide con 3.ª del Punto = 3</t>
  </si>
  <si>
    <t xml:space="preserve">bankerTotal=5, terceraCartaPunto=3</t>
  </si>
  <si>
    <t xml:space="preserve">Inicio→N9(V)→N15(F)→N19</t>
  </si>
  <si>
    <t xml:space="preserve">A5: p&gt;=4 = F</t>
  </si>
  <si>
    <t xml:space="preserve">CB-BD-13</t>
  </si>
  <si>
    <t xml:space="preserve">Banca 5 pide con 3.ª del Punto = 4 (límite inferior)</t>
  </si>
  <si>
    <t xml:space="preserve">bankerTotal=5, terceraCartaPunto=4</t>
  </si>
  <si>
    <t xml:space="preserve">Inicio→N9(V)→N15(V)→N16</t>
  </si>
  <si>
    <t xml:space="preserve">A5=V, B5=V</t>
  </si>
  <si>
    <t xml:space="preserve">CB-BD-14</t>
  </si>
  <si>
    <t xml:space="preserve">Banca 5 NO pide con 3.ª del Punto = 8</t>
  </si>
  <si>
    <t xml:space="preserve">bankerTotal=5, terceraCartaPunto=8</t>
  </si>
  <si>
    <t xml:space="preserve">Inicio→N9(V)→N15(V)→N16→Fin</t>
  </si>
  <si>
    <t xml:space="preserve">A5=V, B5: 8&lt;=7 = F</t>
  </si>
  <si>
    <t xml:space="preserve">CB-BD-15</t>
  </si>
  <si>
    <t xml:space="preserve">Banca 6 pide con 3.ª = 6 (primera condición del OR verdadera)</t>
  </si>
  <si>
    <t xml:space="preserve">bankerTotal=6, terceraCartaPunto=6</t>
  </si>
  <si>
    <t xml:space="preserve">Inicio→N10(V)→N17(V)→N20→Fin</t>
  </si>
  <si>
    <t xml:space="preserve">p===6 = V (cortocircuito)</t>
  </si>
  <si>
    <t xml:space="preserve">CB-BD-16</t>
  </si>
  <si>
    <t xml:space="preserve">Banca 6 pide con 3.ª = 7 (solo la 2.ª condición del OR)</t>
  </si>
  <si>
    <t xml:space="preserve">bankerTotal=6, terceraCartaPunto=7</t>
  </si>
  <si>
    <t xml:space="preserve">Inicio→N10(V)→N17(F)→N18→Fin</t>
  </si>
  <si>
    <t xml:space="preserve">p===6 = F, p===7 = V</t>
  </si>
  <si>
    <t xml:space="preserve">CB-BD-17</t>
  </si>
  <si>
    <t xml:space="preserve">Banca 6 NO pide con 3.ª = 5 (ambas condiciones del OR falsas)</t>
  </si>
  <si>
    <t xml:space="preserve">bankerTotal=6, terceraCartaPunto=5</t>
  </si>
  <si>
    <t xml:space="preserve">p===6 = F, p===7 = F</t>
  </si>
  <si>
    <t xml:space="preserve">CB-BD-18</t>
  </si>
  <si>
    <t xml:space="preserve">Banca 7 siempre se planta (default del switch)</t>
  </si>
  <si>
    <t xml:space="preserve">bankerTotal=7, terceraCartaPunto=2</t>
  </si>
  <si>
    <t xml:space="preserve">Inicio→N10(F)→N19→Fin</t>
  </si>
  <si>
    <t xml:space="preserve">default</t>
  </si>
  <si>
    <t xml:space="preserve">CB-RL-01</t>
  </si>
  <si>
    <t xml:space="preserve">settleBets (+ matches)</t>
  </si>
  <si>
    <t xml:space="preserve">src/services/rouletteService.js</t>
  </si>
  <si>
    <t xml:space="preserve">Sin apuestas: el map no itera (0 iteraciones) y el total es 0</t>
  </si>
  <si>
    <t xml:space="preserve">bets=[], número=7</t>
  </si>
  <si>
    <t xml:space="preserve">Inicio→…→Fin (sin entrar al callback)</t>
  </si>
  <si>
    <t xml:space="preserve">map: 0 iteraciones</t>
  </si>
  <si>
    <t xml:space="preserve">{ totalWin: 0, pagos: [] }</t>
  </si>
  <si>
    <t xml:space="preserve">CB-RL-02</t>
  </si>
  <si>
    <t xml:space="preserve">Pleno gana sin números calientes: paga 36× (35 a 1 + apuesta)</t>
  </si>
  <si>
    <t xml:space="preserve">pleno 17 por 100, sale 17, calientes=[]</t>
  </si>
  <si>
    <t xml:space="preserve">A(V)→HB(F: some vacío)→won(V)→M(F)→N5→Ret</t>
  </si>
  <si>
    <t xml:space="preserve">A=V, B=F, won=V, isHot=F</t>
  </si>
  <si>
    <t xml:space="preserve">{ totalWin: 3600, pagos: [ [ true, 3600, 0, false ] ] }</t>
  </si>
  <si>
    <t xml:space="preserve">CB-RL-03</t>
  </si>
  <si>
    <t xml:space="preserve">Pleno gana y el 17 es número caliente: bono +50%</t>
  </si>
  <si>
    <t xml:space="preserve">pleno 17 por 100, sale 17, calientes=[17]</t>
  </si>
  <si>
    <t xml:space="preserve">A(V)→HB(V)→won(V)→M(V)→N5→Ret</t>
  </si>
  <si>
    <t xml:space="preserve">A=V, B=V, won=V, isHot=V</t>
  </si>
  <si>
    <t xml:space="preserve">{ totalWin: 5400, pagos: [ [ true, 5400, 0, true ] ] }</t>
  </si>
  <si>
    <t xml:space="preserve">CB-RL-04</t>
  </si>
  <si>
    <t xml:space="preserve">Pleno gana; hay calientes pero NINGUNO es el número que salió (B falsa con lista no vacía)</t>
  </si>
  <si>
    <t xml:space="preserve">pleno 17 por 100, sale 17, calientes=[5]</t>
  </si>
  <si>
    <t xml:space="preserve">A(V)→HB(F)→won(V)→M(F)</t>
  </si>
  <si>
    <t xml:space="preserve">A=V, B=F (some recorre y no encuentra)</t>
  </si>
  <si>
    <t xml:space="preserve">CB-RL-05</t>
  </si>
  <si>
    <t xml:space="preserve">Rojo con el 0: La Partage devuelve la mitad</t>
  </si>
  <si>
    <t xml:space="preserve">rojo por 100, sale 0</t>
  </si>
  <si>
    <t xml:space="preserve">A(F)→won(F)→C(V)→D(V)→N7→Ret</t>
  </si>
  <si>
    <t xml:space="preserve">A=F, won=F, C(número===0)=V, D(simple)=V</t>
  </si>
  <si>
    <t xml:space="preserve">{ totalWin: 50, pagos: [ [ false, 0, 50, false ] ] }</t>
  </si>
  <si>
    <t xml:space="preserve">CB-RL-06</t>
  </si>
  <si>
    <t xml:space="preserve">Rojo pierde con un número negro (sin La Partage)</t>
  </si>
  <si>
    <t xml:space="preserve">rojo por 100, sale 2</t>
  </si>
  <si>
    <t xml:space="preserve">A(F)→won(F)→C(F)→Ret</t>
  </si>
  <si>
    <t xml:space="preserve">won=F, C=F</t>
  </si>
  <si>
    <t xml:space="preserve">{ totalWin: 0, pagos: [ [ false, 0, 0, false ] ] }</t>
  </si>
  <si>
    <t xml:space="preserve">CB-RL-07</t>
  </si>
  <si>
    <t xml:space="preserve">Docena con el 0: pierde todo (La Partage solo aplica a apuestas simples)</t>
  </si>
  <si>
    <t xml:space="preserve">docena 1 por 100, sale 0</t>
  </si>
  <si>
    <t xml:space="preserve">A(F)→won(F)→C(V)→D(F)→Ret</t>
  </si>
  <si>
    <t xml:space="preserve">C=V, D=F</t>
  </si>
  <si>
    <t xml:space="preserve">CB-RL-08</t>
  </si>
  <si>
    <t xml:space="preserve">Pleno al 0 gana normal (el 0 es un número más para apuestas directas)</t>
  </si>
  <si>
    <t xml:space="preserve">pleno 0 por 100, sale 0</t>
  </si>
  <si>
    <t xml:space="preserve">A(V)→…→won(V)</t>
  </si>
  <si>
    <t xml:space="preserve">matches(straight): 0===0</t>
  </si>
  <si>
    <t xml:space="preserve">CB-RL-09</t>
  </si>
  <si>
    <t xml:space="preserve">Pleno perdedor con el 0: no hay La Partage y no paga nada</t>
  </si>
  <si>
    <t xml:space="preserve">pleno 5 por 100, sale 0</t>
  </si>
  <si>
    <t xml:space="preserve">A(V)→HB(F)→won(F)→C(V)→D(F)→Ret</t>
  </si>
  <si>
    <t xml:space="preserve">C=V, D=F (straight no es apuesta simple)</t>
  </si>
  <si>
    <t xml:space="preserve">CB-RL-10</t>
  </si>
  <si>
    <t xml:space="preserve">Rojo gana: paga 2× (1 a 1 + apuesta)</t>
  </si>
  <si>
    <t xml:space="preserve">rojo por 100, sale 1</t>
  </si>
  <si>
    <t xml:space="preserve">A(F)→won(V)→M(F)→N5</t>
  </si>
  <si>
    <t xml:space="preserve">A=F, won=V</t>
  </si>
  <si>
    <t xml:space="preserve">{ totalWin: 200, pagos: [ [ true, 200, 0, false ] ] }</t>
  </si>
  <si>
    <t xml:space="preserve">CB-RL-11</t>
  </si>
  <si>
    <t xml:space="preserve">El bono caliente NO aplica a apuestas que no son al pleno (A falsa aunque el número sea caliente)</t>
  </si>
  <si>
    <t xml:space="preserve">negro por 100, sale 17 (negro), calientes=[17]</t>
  </si>
  <si>
    <t xml:space="preserve">A(F)→(B no se evalúa)→won(V)→M(F)</t>
  </si>
  <si>
    <t xml:space="preserve">MC</t>
  </si>
  <si>
    <t xml:space="preserve">A=F (cortocircuito)</t>
  </si>
  <si>
    <t xml:space="preserve">CB-RL-12</t>
  </si>
  <si>
    <t xml:space="preserve">La Partage redondea hacia abajo con apuestas impares</t>
  </si>
  <si>
    <t xml:space="preserve">par por 25, sale 0</t>
  </si>
  <si>
    <t xml:space="preserve">C(V)→D(V)→N7</t>
  </si>
  <si>
    <t xml:space="preserve">floor(25/2)=12</t>
  </si>
  <si>
    <t xml:space="preserve">{ totalWin: 12, pagos: [ [ false, 0, 12, false ] ] }</t>
  </si>
  <si>
    <t xml:space="preserve">CB-RL-13</t>
  </si>
  <si>
    <t xml:space="preserve">Varias apuestas en la misma tirada: el total suma los pagos</t>
  </si>
  <si>
    <t xml:space="preserve">pleno 17 por 50, negro por 100, docena 2 por 100; sale 17 (negro, docena 2)</t>
  </si>
  <si>
    <t xml:space="preserve">map con 3 iteraciones</t>
  </si>
  <si>
    <t xml:space="preserve">map: 3 iteraciones</t>
  </si>
  <si>
    <t xml:space="preserve">{ totalWin: 2300, pagos: [ [ true, 1800, 0, false ], [ true, 200, 0, false ], [ true, 300, 0, false ] ] }</t>
  </si>
  <si>
    <t xml:space="preserve">CB-RL-14</t>
  </si>
  <si>
    <t xml:space="preserve">Límite bajo/alto: 18 es "low" y 19 es "high"</t>
  </si>
  <si>
    <t xml:space="preserve">low por 100 con 18; high por 100 con 19</t>
  </si>
  <si>
    <t xml:space="preserve">matches(half)</t>
  </si>
  <si>
    <t xml:space="preserve">number&lt;=18 / number&gt;=19</t>
  </si>
  <si>
    <t xml:space="preserve">{ low18: true, high19: true, low19: false, high18: false }</t>
  </si>
  <si>
    <t xml:space="preserve">CB-RL-15</t>
  </si>
  <si>
    <t xml:space="preserve">Columna 3 con el 36 y paridad/color/docena con distintos números (ramas de matches)</t>
  </si>
  <si>
    <t xml:space="preserve">columna 3→36; impar→7; negro→2; docena 3→36</t>
  </si>
  <si>
    <t xml:space="preserve">matches(column|parity|color|dozen)</t>
  </si>
  <si>
    <t xml:space="preserve">cada case de matches</t>
  </si>
  <si>
    <t xml:space="preserve">{ col3_36: true, impar7: true, negro2: true, doc3_36: true, par7: false }</t>
  </si>
  <si>
    <t xml:space="preserve">CB-RL-16</t>
  </si>
  <si>
    <t xml:space="preserve">Tipo de apuesta desconocido: matches cae en default y no paga</t>
  </si>
  <si>
    <t xml:space="preserve">tipo "xyz" por 100, sale 5</t>
  </si>
  <si>
    <t xml:space="preserve">matches(default)</t>
  </si>
  <si>
    <t xml:space="preserve">default del switch</t>
  </si>
  <si>
    <t xml:space="preserve">Módulo</t>
  </si>
  <si>
    <t xml:space="preserve">Técnica (EP/VL/TD/TE/ES)</t>
  </si>
  <si>
    <t xml:space="preserve">Regla de negocio / requisito</t>
  </si>
  <si>
    <t xml:space="preserve">CN-BJR-01</t>
  </si>
  <si>
    <t xml:space="preserve">Blackjack (reglas)</t>
  </si>
  <si>
    <t xml:space="preserve">TD</t>
  </si>
  <si>
    <t xml:space="preserve">Tabla de pagos del Blackjack (el pago incluye la apuesta devuelta)</t>
  </si>
  <si>
    <t xml:space="preserve">Blackjack natural paga 3 a 2</t>
  </si>
  <si>
    <t xml:space="preserve">resultado="blackjack", apuesta=100</t>
  </si>
  <si>
    <t xml:space="preserve">250</t>
  </si>
  <si>
    <t xml:space="preserve">CN-BJR-02</t>
  </si>
  <si>
    <t xml:space="preserve">Ganar paga 1 a 1</t>
  </si>
  <si>
    <t xml:space="preserve">resultado="win", apuesta=100</t>
  </si>
  <si>
    <t xml:space="preserve">200</t>
  </si>
  <si>
    <t xml:space="preserve">CN-BJR-03</t>
  </si>
  <si>
    <t xml:space="preserve">Empate devuelve la apuesta</t>
  </si>
  <si>
    <t xml:space="preserve">resultado="push", apuesta=100</t>
  </si>
  <si>
    <t xml:space="preserve">100</t>
  </si>
  <si>
    <t xml:space="preserve">CN-BJR-04</t>
  </si>
  <si>
    <t xml:space="preserve">Perder no devuelve nada</t>
  </si>
  <si>
    <t xml:space="preserve">resultado="lose", apuesta=100</t>
  </si>
  <si>
    <t xml:space="preserve">CN-BJR-05</t>
  </si>
  <si>
    <t xml:space="preserve">Rendirse devuelve la mitad</t>
  </si>
  <si>
    <t xml:space="preserve">resultado="surrender", apuesta=100</t>
  </si>
  <si>
    <t xml:space="preserve">50</t>
  </si>
  <si>
    <t xml:space="preserve">CN-BJR-06</t>
  </si>
  <si>
    <t xml:space="preserve">Blackjack con apuesta impar redondea hacia abajo (62.5 → 62)</t>
  </si>
  <si>
    <t xml:space="preserve">resultado="blackjack", apuesta=25</t>
  </si>
  <si>
    <t xml:space="preserve">62</t>
  </si>
  <si>
    <t xml:space="preserve">CN-BJR-07</t>
  </si>
  <si>
    <t xml:space="preserve">Rendirse con apuesta impar redondea hacia abajo (12.5 → 12)</t>
  </si>
  <si>
    <t xml:space="preserve">resultado="surrender", apuesta=25</t>
  </si>
  <si>
    <t xml:space="preserve">CN-BJR-08</t>
  </si>
  <si>
    <t xml:space="preserve">VL</t>
  </si>
  <si>
    <t xml:space="preserve">Gana quien más se acerque a 21 sin pasarse; el que se pasa pierde</t>
  </si>
  <si>
    <t xml:space="preserve">Jugador 21 vs crupier 20 → gana</t>
  </si>
  <si>
    <t xml:space="preserve">jugador 21, crupier 20</t>
  </si>
  <si>
    <t xml:space="preserve">'win'</t>
  </si>
  <si>
    <t xml:space="preserve">CN-BJR-09</t>
  </si>
  <si>
    <t xml:space="preserve">Jugador 20 vs crupier 20 → empate</t>
  </si>
  <si>
    <t xml:space="preserve">jugador 20, crupier 20</t>
  </si>
  <si>
    <t xml:space="preserve">'push'</t>
  </si>
  <si>
    <t xml:space="preserve">CN-BJR-10</t>
  </si>
  <si>
    <t xml:space="preserve">Jugador 20 vs crupier 21 → pierde</t>
  </si>
  <si>
    <t xml:space="preserve">jugador 20, crupier 21</t>
  </si>
  <si>
    <t xml:space="preserve">'lose'</t>
  </si>
  <si>
    <t xml:space="preserve">CN-BJR-11</t>
  </si>
  <si>
    <t xml:space="preserve">Crupier se pasó (26) → gana el jugador</t>
  </si>
  <si>
    <t xml:space="preserve">jugador 12, crupier 26</t>
  </si>
  <si>
    <t xml:space="preserve">CN-BJR-12</t>
  </si>
  <si>
    <t xml:space="preserve">El crupier pide con 16 o menos</t>
  </si>
  <si>
    <t xml:space="preserve">Crupier con 16 debe pedir</t>
  </si>
  <si>
    <t xml:space="preserve">mano 10+6</t>
  </si>
  <si>
    <t xml:space="preserve">CN-BJR-13</t>
  </si>
  <si>
    <t xml:space="preserve">El crupier se planta con 17 o más</t>
  </si>
  <si>
    <t xml:space="preserve">Crupier con 17 duro no pide</t>
  </si>
  <si>
    <t xml:space="preserve">mano 10+7</t>
  </si>
  <si>
    <t xml:space="preserve">CN-BJR-14</t>
  </si>
  <si>
    <t xml:space="preserve">El crupier se planta en TODOS los 17 (también suave)</t>
  </si>
  <si>
    <t xml:space="preserve">Crupier con A+6 (17 suave) no pide</t>
  </si>
  <si>
    <t xml:space="preserve">mano A+6</t>
  </si>
  <si>
    <t xml:space="preserve">CN-BJR-15</t>
  </si>
  <si>
    <t xml:space="preserve">EP</t>
  </si>
  <si>
    <t xml:space="preserve">El crupier pide hasta llegar a 17 o más</t>
  </si>
  <si>
    <t xml:space="preserve">Crupier con 10+2=12 recibe 3 (15) y luego 4 (19) y se planta</t>
  </si>
  <si>
    <t xml:space="preserve">cartas del mazo: 3, 4</t>
  </si>
  <si>
    <t xml:space="preserve">{ total: 19, cartas: 4 }</t>
  </si>
  <si>
    <t xml:space="preserve">CN-BJR-16</t>
  </si>
  <si>
    <t xml:space="preserve">Si el crupier se pasa, deja de pedir</t>
  </si>
  <si>
    <t xml:space="preserve">Crupier 10+6 recibe un K y se pasa con 26</t>
  </si>
  <si>
    <t xml:space="preserve">carta del mazo: K</t>
  </si>
  <si>
    <t xml:space="preserve">{ total: 26, cartas: 3 }</t>
  </si>
  <si>
    <t xml:space="preserve">CN-BJR-17</t>
  </si>
  <si>
    <t xml:space="preserve">Blackjack = 21 con exactamente 2 cartas</t>
  </si>
  <si>
    <t xml:space="preserve">A+K sí; 7+7+7 (21 con 3 cartas) no; K+Q (20) no</t>
  </si>
  <si>
    <t xml:space="preserve">tres manos</t>
  </si>
  <si>
    <t xml:space="preserve">{ AK: true, tresSietes: false, KQ: false }</t>
  </si>
  <si>
    <t xml:space="preserve">CN-BJR-18</t>
  </si>
  <si>
    <t xml:space="preserve">Bono histórico: A♠ + J♠/J♣ (Jota negra) paga 10 a 1</t>
  </si>
  <si>
    <t xml:space="preserve">Combinaciones con As de Picas y distintas jotas</t>
  </si>
  <si>
    <t xml:space="preserve">A♠+J♠ | A♠+J♣ | A♠+J♥ | A♥+J♠ | A♠+K♠</t>
  </si>
  <si>
    <t xml:space="preserve">{ AS_JS: true, AS_JC: true, AS_JH: false, AH_JS: false, AS_KS: false }</t>
  </si>
  <si>
    <t xml:space="preserve">CN-BJR-19</t>
  </si>
  <si>
    <t xml:space="preserve">El seguro cuesta la mitad de la apuesta (redondeo hacia abajo)</t>
  </si>
  <si>
    <t xml:space="preserve">Costo del seguro con apuestas 100, 25 y 10</t>
  </si>
  <si>
    <t xml:space="preserve">apuesta 100 | 25 | 10</t>
  </si>
  <si>
    <t xml:space="preserve">{ a100: 50, a25: 12, a10: 5 }</t>
  </si>
  <si>
    <t xml:space="preserve">CN-BJR-20</t>
  </si>
  <si>
    <t xml:space="preserve">Perfect Pairs: perfecto (mismo valor y palo) · mismo color · mixto · nada</t>
  </si>
  <si>
    <t xml:space="preserve">Cuatro clases con K♠ de referencia</t>
  </si>
  <si>
    <t xml:space="preserve">K♠K♠ | K♠K♣ | K♠K♥ | K♠Q♠ | K♠10♠</t>
  </si>
  <si>
    <t xml:space="preserve">{ perfecto: 'perfect', mismoColor: 'colored', mixto: 'mixed', distintoValor: null, kConDiez: null }</t>
  </si>
  <si>
    <t xml:space="preserve">CN-BJR-21</t>
  </si>
  <si>
    <t xml:space="preserve">Perfect Pairs paga 25 a 1 / 12 a 1 / 6 a 1 (multiplicador total 26 / 13 / 7)</t>
  </si>
  <si>
    <t xml:space="preserve">Tabla de multiplicadores</t>
  </si>
  <si>
    <t xml:space="preserve">PAIRS_PAYOUT</t>
  </si>
  <si>
    <t xml:space="preserve">{ perfect: 26, colored: 13, mixed: 7 }</t>
  </si>
  <si>
    <t xml:space="preserve">CN-BJR-22</t>
  </si>
  <si>
    <t xml:space="preserve">21+3: combinaciones de póker con tus 2 cartas + la visible del crupier</t>
  </si>
  <si>
    <t xml:space="preserve">Siete combinaciones representativas</t>
  </si>
  <si>
    <t xml:space="preserve">ver detalle</t>
  </si>
  <si>
    <t xml:space="preserve">{ trioMismoPalo: 'suitedTrips', escaleraColor: 'straightFlush', trio: 'threeKind', escalera: 'straight', color: 'flush', nada: null, escaleraDesordenada: 'straight' }</t>
  </si>
  <si>
    <t xml:space="preserve">CN-BJR-23</t>
  </si>
  <si>
    <t xml:space="preserve">21+3: el As cuenta alto o bajo en la escalera, pero no da la vuelta (K-A-2 no sirve)</t>
  </si>
  <si>
    <t xml:space="preserve">A-2-3, Q-K-A y K-A-2</t>
  </si>
  <si>
    <t xml:space="preserve">tres escaleras con As</t>
  </si>
  <si>
    <t xml:space="preserve">{ A23: 'straight', QKA: 'straight', KA2: null }</t>
  </si>
  <si>
    <t xml:space="preserve">CN-BJR-24</t>
  </si>
  <si>
    <t xml:space="preserve">21+3 paga: trío mismo palo 100 a 1, escalera de color 40 a 1, trío 30 a 1, escalera 10 a 1, color 5 a 1 (multiplicador total +1)</t>
  </si>
  <si>
    <t xml:space="preserve">THREE_PAYOUT</t>
  </si>
  <si>
    <t xml:space="preserve">{ suitedTrips: 101, straightFlush: 41, threeKind: 31, straight: 11, flush: 6 }</t>
  </si>
  <si>
    <t xml:space="preserve">CN-BJR-25</t>
  </si>
  <si>
    <t xml:space="preserve">Charlie: 5 cartas o más sin pasarse de 21</t>
  </si>
  <si>
    <t xml:space="preserve">4 cartas (no), 5 cartas ≤21 (sí), 5 cartas pasadas de 21 (no)</t>
  </si>
  <si>
    <t xml:space="preserve">{ cuatro: false, cincoValida: true, cincoPasada: false }</t>
  </si>
  <si>
    <t xml:space="preserve">CN-BCR-01</t>
  </si>
  <si>
    <t xml:space="preserve">Bacará (reglas)</t>
  </si>
  <si>
    <t xml:space="preserve">Valor de las cartas: As=1, 2-9 su número, 10/J/Q/K=0; solo cuenta el último dígito de la suma</t>
  </si>
  <si>
    <t xml:space="preserve">Totales de manos de ejemplo</t>
  </si>
  <si>
    <t xml:space="preserve">7+8 | 9+9 | K+Q | A+9 | 5+5</t>
  </si>
  <si>
    <t xml:space="preserve">{ s7_8: 5, s9_9: 8, KQ: 0, A_9: 0, s5_5: 0 }</t>
  </si>
  <si>
    <t xml:space="preserve">CN-BCR-02</t>
  </si>
  <si>
    <t xml:space="preserve">El Punto pide con 5 o menos y se planta con 6 o 7</t>
  </si>
  <si>
    <t xml:space="preserve">Totales 5, 6 y 7 del Punto</t>
  </si>
  <si>
    <t xml:space="preserve">playerDraws(5|6|7)</t>
  </si>
  <si>
    <t xml:space="preserve">{ con5: true, con6: false, con7: false }</t>
  </si>
  <si>
    <t xml:space="preserve">CN-BCR-03</t>
  </si>
  <si>
    <t xml:space="preserve">Tabla oficial de la tercera carta de la Banca</t>
  </si>
  <si>
    <t xml:space="preserve">Banca 0: siempre pide</t>
  </si>
  <si>
    <t xml:space="preserve">Banca=0; 3.ª carta del Punto = 0…9 (10 casos)</t>
  </si>
  <si>
    <t xml:space="preserve">{ pideConTerceraCarta: [ 0, 1, 2, 3, 4, 5, 6, 7, 8, 9 ] }</t>
  </si>
  <si>
    <t xml:space="preserve">CN-BCR-04</t>
  </si>
  <si>
    <t xml:space="preserve">Banca 1: siempre pide</t>
  </si>
  <si>
    <t xml:space="preserve">Banca=1; 3.ª carta del Punto = 0…9 (10 casos)</t>
  </si>
  <si>
    <t xml:space="preserve">CN-BCR-05</t>
  </si>
  <si>
    <t xml:space="preserve">Banca 2: siempre pide</t>
  </si>
  <si>
    <t xml:space="preserve">Banca=2; 3.ª carta del Punto = 0…9 (10 casos)</t>
  </si>
  <si>
    <t xml:space="preserve">CN-BCR-06</t>
  </si>
  <si>
    <t xml:space="preserve">Banca 3: pide salvo que la 3.ª del Punto sea 8</t>
  </si>
  <si>
    <t xml:space="preserve">Banca=3; 3.ª carta del Punto = 0…9 (10 casos)</t>
  </si>
  <si>
    <t xml:space="preserve">{ pideConTerceraCarta: [ 0, 1, 2, 3, 4, 5, 6, 7, 9 ] }</t>
  </si>
  <si>
    <t xml:space="preserve">CN-BCR-07</t>
  </si>
  <si>
    <t xml:space="preserve">Banca 4: pide si la 3.ª del Punto es 2 a 7</t>
  </si>
  <si>
    <t xml:space="preserve">Banca=4; 3.ª carta del Punto = 0…9 (10 casos)</t>
  </si>
  <si>
    <t xml:space="preserve">{ pideConTerceraCarta: [ 2, 3, 4, 5, 6, 7 ] }</t>
  </si>
  <si>
    <t xml:space="preserve">CN-BCR-08</t>
  </si>
  <si>
    <t xml:space="preserve">Banca 5: pide si la 3.ª del Punto es 4 a 7</t>
  </si>
  <si>
    <t xml:space="preserve">Banca=5; 3.ª carta del Punto = 0…9 (10 casos)</t>
  </si>
  <si>
    <t xml:space="preserve">{ pideConTerceraCarta: [ 4, 5, 6, 7 ] }</t>
  </si>
  <si>
    <t xml:space="preserve">CN-BCR-09</t>
  </si>
  <si>
    <t xml:space="preserve">Banca 6: pide si la 3.ª del Punto es 6 o 7</t>
  </si>
  <si>
    <t xml:space="preserve">Banca=6; 3.ª carta del Punto = 0…9 (10 casos)</t>
  </si>
  <si>
    <t xml:space="preserve">{ pideConTerceraCarta: [ 6, 7 ] }</t>
  </si>
  <si>
    <t xml:space="preserve">CN-BCR-10</t>
  </si>
  <si>
    <t xml:space="preserve">Banca 7: nunca pide</t>
  </si>
  <si>
    <t xml:space="preserve">Banca=7; 3.ª carta del Punto = 0…9 (10 casos)</t>
  </si>
  <si>
    <t xml:space="preserve">{ pideConTerceraCarta: [] }</t>
  </si>
  <si>
    <t xml:space="preserve">CN-BCR-11</t>
  </si>
  <si>
    <t xml:space="preserve">Si el Punto se plantó, la Banca pide con 5 o menos y se planta con 6 o más</t>
  </si>
  <si>
    <t xml:space="preserve">Banca 5 y Banca 6 sin tercera carta del Punto</t>
  </si>
  <si>
    <t xml:space="preserve">bankerDraws(5|6, null)</t>
  </si>
  <si>
    <t xml:space="preserve">{ con5: true, con6: false }</t>
  </si>
  <si>
    <t xml:space="preserve">CN-BCR-12</t>
  </si>
  <si>
    <t xml:space="preserve">Pagos: Punto 1 a 1; Banca 1 a 1 menos 5%; Empate 8 a 1; Pares 11 a 1</t>
  </si>
  <si>
    <t xml:space="preserve">Ronda donde gana la Banca, con apuestas 100 en cada casilla</t>
  </si>
  <si>
    <t xml:space="preserve">ganador=banker, par de la banca</t>
  </si>
  <si>
    <t xml:space="preserve">{ player: 0, banker: 195, tie: 0, playerPair: 0, bankerPair: 1200 }</t>
  </si>
  <si>
    <t xml:space="preserve">CN-BCR-13</t>
  </si>
  <si>
    <t xml:space="preserve">Empate: Punto y Banca se devuelven; el Empate paga 8 a 1 (9× total)</t>
  </si>
  <si>
    <t xml:space="preserve">Ronda empatada, apuestas 100 en Punto, Banca y Empate</t>
  </si>
  <si>
    <t xml:space="preserve">ganador=tie</t>
  </si>
  <si>
    <t xml:space="preserve">{ player: 100, banker: 100, tie: 900, playerPair: 0, bankerPair: 0 }</t>
  </si>
  <si>
    <t xml:space="preserve">CN-BCR-14</t>
  </si>
  <si>
    <t xml:space="preserve">La comisión del 5% se redondea hacia abajo</t>
  </si>
  <si>
    <t xml:space="preserve">Gana la Banca con apuestas de 10 y de 11</t>
  </si>
  <si>
    <t xml:space="preserve">banker=10 → 19 · banker=11 → 21</t>
  </si>
  <si>
    <t xml:space="preserve">{ b10: 19, b11: 21 }</t>
  </si>
  <si>
    <t xml:space="preserve">CN-BCR-15</t>
  </si>
  <si>
    <t xml:space="preserve">Gana el Punto: paga 1 a 1; la Banca y el Empate pierden</t>
  </si>
  <si>
    <t xml:space="preserve">Ronda con victoria del Punto</t>
  </si>
  <si>
    <t xml:space="preserve">ganador=player</t>
  </si>
  <si>
    <t xml:space="preserve">{ player: 200, banker: 0, tie: 0 }</t>
  </si>
  <si>
    <t xml:space="preserve">CN-RLR-01</t>
  </si>
  <si>
    <t xml:space="preserve">Ruleta (reglas)</t>
  </si>
  <si>
    <t xml:space="preserve">Ruleta europea: 18 rojos, 18 negros y 1 verde (el 0)</t>
  </si>
  <si>
    <t xml:space="preserve">Colores de los 37 números</t>
  </si>
  <si>
    <t xml:space="preserve">colorOf(0..36)</t>
  </si>
  <si>
    <t xml:space="preserve">{ rojos: 18, negros: 18, verdes: 1, colorDel0: 'green', colorDel1: 'red', colorDel2: 'black', colorDel36: 'red' }</t>
  </si>
  <si>
    <t xml:space="preserve">CN-RLR-02</t>
  </si>
  <si>
    <t xml:space="preserve">Multiplicadores totales: pleno 36, simples 2, docena y columna 3</t>
  </si>
  <si>
    <t xml:space="preserve">Tabla de pagos</t>
  </si>
  <si>
    <t xml:space="preserve">PAYOUTS</t>
  </si>
  <si>
    <t xml:space="preserve">{ straight: 36, color: 2, parity: 2, half: 2, dozen: 3, column: 3 }</t>
  </si>
  <si>
    <t xml:space="preserve">CN-RLR-03</t>
  </si>
  <si>
    <t xml:space="preserve">El sorteo es justo: los 37 números salen con la misma probabilidad (1/37)</t>
  </si>
  <si>
    <t xml:space="preserve">37,000 giros: cada número debe salir entre 850 y 1,150 veces (esperado 1,000)</t>
  </si>
  <si>
    <t xml:space="preserve">spinNumber() × 37,000</t>
  </si>
  <si>
    <t xml:space="preserve">{ fueraDeRango: 0, cubreLos37: true }</t>
  </si>
  <si>
    <t xml:space="preserve">CN-RLR-04</t>
  </si>
  <si>
    <t xml:space="preserve">Validación de apuestas sueltas (mesa en vivo): se acepta lo válido y se rechaza lo inválido con error 400</t>
  </si>
  <si>
    <t xml:space="preserve">Válida, monto 9, tipo malo y selección fuera de rango</t>
  </si>
  <si>
    <t xml:space="preserve">normalizeBet(...) × 4</t>
  </si>
  <si>
    <t xml:space="preserve">{ valida: 'straight|17|50', monto9: 400, tipoMalo: 400, seleccion37: 400 }</t>
  </si>
  <si>
    <t xml:space="preserve">CN-RLR-05</t>
  </si>
  <si>
    <t xml:space="preserve">Una selección vacía o nula NO es el número 0 (mesa en vivo)</t>
  </si>
  <si>
    <t xml:space="preserve">normalizeBet con selection null, "" y [] debe lanzar error 400</t>
  </si>
  <si>
    <t xml:space="preserve">straight con null | "" | []</t>
  </si>
  <si>
    <t xml:space="preserve">{ nulo: 400, vacio: 400, lista: 400 }</t>
  </si>
  <si>
    <t xml:space="preserve">{ nulo: 'aceptó la apuesta', vacio: 'aceptó la apuesta', lista: 'aceptó la apuesta' }</t>
  </si>
  <si>
    <t xml:space="preserve">FALLÓ</t>
  </si>
  <si>
    <t xml:space="preserve">CN-MAT-01</t>
  </si>
  <si>
    <t xml:space="preserve">Plinko y Tragamonedas (matemática)</t>
  </si>
  <si>
    <t xml:space="preserve">Plinko: retorno esperado (RTP) ≈ 97% en los 3 niveles de riesgo</t>
  </si>
  <si>
    <t xml:space="preserve">RTP exacto de bajo, medio y alto</t>
  </si>
  <si>
    <t xml:space="preserve">expectedReturn(low|medium|high)</t>
  </si>
  <si>
    <t xml:space="preserve">{ low: true, medium: true, high: true }</t>
  </si>
  <si>
    <t xml:space="preserve">CN-MAT-02</t>
  </si>
  <si>
    <t xml:space="preserve">Plinko: 13 casillas simétricas por nivel</t>
  </si>
  <si>
    <t xml:space="preserve">Cada tabla tiene 13 valores y es igual leída al revés</t>
  </si>
  <si>
    <t xml:space="preserve">MULTIPLIERS</t>
  </si>
  <si>
    <t xml:space="preserve">CN-MAT-03</t>
  </si>
  <si>
    <t xml:space="preserve">Plinko: la casilla es la cantidad de pasos a la derecha (0 a 12)</t>
  </si>
  <si>
    <t xml:space="preserve">Todo izquierda → 0; todo derecha → 12; mitad y mitad → 6</t>
  </si>
  <si>
    <t xml:space="preserve">slotOf(...)</t>
  </si>
  <si>
    <t xml:space="preserve">{ izquierda: 0, derecha: 12, mitad: 6 }</t>
  </si>
  <si>
    <t xml:space="preserve">CN-MAT-04</t>
  </si>
  <si>
    <t xml:space="preserve">Tragamonedas: la casa gana a largo plazo (retorno de líneas entre 80% y 90%)</t>
  </si>
  <si>
    <t xml:space="preserve">300,000 giros de 100: retorno promedio de las líneas</t>
  </si>
  <si>
    <t xml:space="preserve">spin(100) × 300,000</t>
  </si>
  <si>
    <t xml:space="preserve">{ enRango: true }</t>
  </si>
  <si>
    <t xml:space="preserve">CN-MAT-05</t>
  </si>
  <si>
    <t xml:space="preserve">Sorteo ponderado: cada símbolo sale según su peso (34/27/19/11/6/3 %)</t>
  </si>
  <si>
    <t xml:space="preserve">100,000 sorteos: cada frecuencia dentro de ±1.5 puntos del peso</t>
  </si>
  <si>
    <t xml:space="preserve">weightedPick(símbolos) × 100,000</t>
  </si>
  <si>
    <t xml:space="preserve">{ todasEnRango: true }</t>
  </si>
  <si>
    <t xml:space="preserve">CN-DCK-01</t>
  </si>
  <si>
    <t xml:space="preserve">Mazo de cartas</t>
  </si>
  <si>
    <t xml:space="preserve">Un mazo de Blackjack son 6 barajas (312 cartas); el de Bacará, 8 (416)</t>
  </si>
  <si>
    <t xml:space="preserve">Tamaño de los zapatos</t>
  </si>
  <si>
    <t xml:space="preserve">buildShoe(6) y buildShoe(8)</t>
  </si>
  <si>
    <t xml:space="preserve">{ seis: 312, ocho: 416 }</t>
  </si>
  <si>
    <t xml:space="preserve">CN-DCK-02</t>
  </si>
  <si>
    <t xml:space="preserve">Cada una de las 52 cartas aparece exactamente una vez por baraja</t>
  </si>
  <si>
    <t xml:space="preserve">En 6 barajas, cada código sale 6 veces</t>
  </si>
  <si>
    <t xml:space="preserve">conteo por código</t>
  </si>
  <si>
    <t xml:space="preserve">{ codigosDistintos: 52, todosSeis: true }</t>
  </si>
  <si>
    <t xml:space="preserve">CN-DCK-03</t>
  </si>
  <si>
    <t xml:space="preserve">El mazo está barajado (no sale en orden)</t>
  </si>
  <si>
    <t xml:space="preserve">Dos mazos barajados distintos entre sí y distintos del orden de fábrica</t>
  </si>
  <si>
    <t xml:space="preserve">buildShoe(1) dos veces</t>
  </si>
  <si>
    <t xml:space="preserve">{ distintos: true }</t>
  </si>
  <si>
    <t xml:space="preserve">CN-DCK-04</t>
  </si>
  <si>
    <t xml:space="preserve">Sacar cartas las quita del frente del mazo y las devuelve completas</t>
  </si>
  <si>
    <t xml:space="preserve">draw(mazo, 2) sobre ["AS","0H","KD"]</t>
  </si>
  <si>
    <t xml:space="preserve">draw(["AS","0H","KD"], 2)</t>
  </si>
  <si>
    <t xml:space="preserve">{ sacadas: [ 'AS', '0H' ], valorDeLaSegunda: '10', quedan: [ 'KD' ] }</t>
  </si>
  <si>
    <t xml:space="preserve">CN-DCK-05</t>
  </si>
  <si>
    <t xml:space="preserve">Pedir más cartas de las que hay es un error controlado</t>
  </si>
  <si>
    <t xml:space="preserve">draw de 2 cartas con 1 sola en el mazo</t>
  </si>
  <si>
    <t xml:space="preserve">draw(["AS"], 2)</t>
  </si>
  <si>
    <t xml:space="preserve">{ estado: 500, mensaje: 'El mazo se quedó sin cartas' }</t>
  </si>
  <si>
    <t xml:space="preserve">CN-DCK-06</t>
  </si>
  <si>
    <t xml:space="preserve">Un código de carta inválido se rechaza</t>
  </si>
  <si>
    <t xml:space="preserve">fromCode("ZZ")</t>
  </si>
  <si>
    <t xml:space="preserve">código inexistente</t>
  </si>
  <si>
    <t xml:space="preserve">{ lanza: true }</t>
  </si>
  <si>
    <t xml:space="preserve">CN-AUTH-01</t>
  </si>
  <si>
    <t xml:space="preserve">Cuentas y sesión</t>
  </si>
  <si>
    <t xml:space="preserve">RN: un registro válido crea la cuenta con el saldo inicial y devuelve token</t>
  </si>
  <si>
    <t xml:space="preserve">Registro con datos válidos (clase válida)</t>
  </si>
  <si>
    <t xml:space="preserve">usuario "j…", email válido, contraseña de 8 caracteres</t>
  </si>
  <si>
    <t xml:space="preserve">{ status: 201, token: true, saldo: 5000, vip: 'Bronce', sinPassword: true }</t>
  </si>
  <si>
    <t xml:space="preserve">CN-AUTH-02</t>
  </si>
  <si>
    <t xml:space="preserve">RN: usuario de 3 a 20 caracteres</t>
  </si>
  <si>
    <t xml:space="preserve">Usuario de 2 caracteres (justo debajo del mínimo)</t>
  </si>
  <si>
    <t xml:space="preserve">username="ab"</t>
  </si>
  <si>
    <t xml:space="preserve">{ status: 400 }</t>
  </si>
  <si>
    <t xml:space="preserve">CN-AUTH-03</t>
  </si>
  <si>
    <t xml:space="preserve">Usuario de 3 caracteres (mínimo exacto)</t>
  </si>
  <si>
    <t xml:space="preserve">username="abc"</t>
  </si>
  <si>
    <t xml:space="preserve">{ status: 201 }</t>
  </si>
  <si>
    <t xml:space="preserve">CN-AUTH-04</t>
  </si>
  <si>
    <t xml:space="preserve">Usuario de 20 caracteres (máximo exacto)</t>
  </si>
  <si>
    <t xml:space="preserve">username de 20 caracteres</t>
  </si>
  <si>
    <t xml:space="preserve">CN-AUTH-05</t>
  </si>
  <si>
    <t xml:space="preserve">Usuario de 21 caracteres (justo encima del máximo)</t>
  </si>
  <si>
    <t xml:space="preserve">username de 21 caracteres</t>
  </si>
  <si>
    <t xml:space="preserve">CN-AUTH-06</t>
  </si>
  <si>
    <t xml:space="preserve">RN: el usuario no puede estar vacío</t>
  </si>
  <si>
    <t xml:space="preserve">Usuario formado solo por espacios (clase inválida)</t>
  </si>
  <si>
    <t xml:space="preserve">username="    "</t>
  </si>
  <si>
    <t xml:space="preserve">CN-AUTH-07</t>
  </si>
  <si>
    <t xml:space="preserve">RN: los espacios al inicio/fin del usuario se descartan</t>
  </si>
  <si>
    <t xml:space="preserve">Usuario con espacios alrededor se guarda recortado</t>
  </si>
  <si>
    <t xml:space="preserve">username="  pXXXX  "</t>
  </si>
  <si>
    <t xml:space="preserve">{ status: 201, recortado: true }</t>
  </si>
  <si>
    <t xml:space="preserve">CN-AUTH-08</t>
  </si>
  <si>
    <t xml:space="preserve">RN: contraseña mínimo 6 caracteres</t>
  </si>
  <si>
    <t xml:space="preserve">Contraseña de 5 caracteres (debajo del mínimo)</t>
  </si>
  <si>
    <t xml:space="preserve">password="12345"</t>
  </si>
  <si>
    <t xml:space="preserve">CN-AUTH-09</t>
  </si>
  <si>
    <t xml:space="preserve">Contraseña de 6 caracteres (mínimo exacto)</t>
  </si>
  <si>
    <t xml:space="preserve">password="123456"</t>
  </si>
  <si>
    <t xml:space="preserve">CN-AUTH-10</t>
  </si>
  <si>
    <t xml:space="preserve">RN: el correo debe tener formato válido</t>
  </si>
  <si>
    <t xml:space="preserve">Correo sin arroba (clase inválida)</t>
  </si>
  <si>
    <t xml:space="preserve">email="correo.com"</t>
  </si>
  <si>
    <t xml:space="preserve">CN-AUTH-11</t>
  </si>
  <si>
    <t xml:space="preserve">RN: el correo es único</t>
  </si>
  <si>
    <t xml:space="preserve">Correo ya registrado (clase inválida por duplicado)</t>
  </si>
  <si>
    <t xml:space="preserve">segundo registro con el mismo email</t>
  </si>
  <si>
    <t xml:space="preserve">{ status: 400, mensaje: 'Ese email ya está registrado' }</t>
  </si>
  <si>
    <t xml:space="preserve">CN-AUTH-12</t>
  </si>
  <si>
    <t xml:space="preserve">RN: el usuario es único</t>
  </si>
  <si>
    <t xml:space="preserve">Usuario ya registrado (clase inválida por duplicado)</t>
  </si>
  <si>
    <t xml:space="preserve">segundo registro con el mismo username</t>
  </si>
  <si>
    <t xml:space="preserve">{ status: 400, mensaje: 'Ese username ya está registrado' }</t>
  </si>
  <si>
    <t xml:space="preserve">CN-AUTH-13</t>
  </si>
  <si>
    <t xml:space="preserve">RN: el correo no distingue mayúsculas</t>
  </si>
  <si>
    <t xml:space="preserve">Registrar con mayúsculas y entrar con minúsculas</t>
  </si>
  <si>
    <t xml:space="preserve">email "Mixto@Prueba.CO" → login "mixto@prueba.co"</t>
  </si>
  <si>
    <t xml:space="preserve">{ registro: 201, login: 200 }</t>
  </si>
  <si>
    <t xml:space="preserve">CN-AUTH-14</t>
  </si>
  <si>
    <t xml:space="preserve">RN: todos los datos son obligatorios</t>
  </si>
  <si>
    <t xml:space="preserve">Cuerpo vacío (faltan todos los campos)</t>
  </si>
  <si>
    <t xml:space="preserve">{}</t>
  </si>
  <si>
    <t xml:space="preserve">CN-AUTH-15</t>
  </si>
  <si>
    <t xml:space="preserve">Tabla R1: correo existe + contraseña correcta → entra</t>
  </si>
  <si>
    <t xml:space="preserve">Login correcto</t>
  </si>
  <si>
    <t xml:space="preserve">email registrado, contraseña correcta</t>
  </si>
  <si>
    <t xml:space="preserve">{ status: 200, token: true }</t>
  </si>
  <si>
    <t xml:space="preserve">CN-AUTH-16</t>
  </si>
  <si>
    <t xml:space="preserve">Tabla R2: correo existe + contraseña incorrecta → rechaza</t>
  </si>
  <si>
    <t xml:space="preserve">Login con contraseña equivocada</t>
  </si>
  <si>
    <t xml:space="preserve">email registrado, contraseña "mala"</t>
  </si>
  <si>
    <t xml:space="preserve">{ status: 401, mensaje: 'Correo o contraseña incorrectos' }</t>
  </si>
  <si>
    <t xml:space="preserve">CN-AUTH-17</t>
  </si>
  <si>
    <t xml:space="preserve">Tabla R3: correo NO existe → mismo mensaje (no revela si la cuenta existe)</t>
  </si>
  <si>
    <t xml:space="preserve">Login con correo inexistente</t>
  </si>
  <si>
    <t xml:space="preserve">email nunca registrado</t>
  </si>
  <si>
    <t xml:space="preserve">CN-AUTH-18</t>
  </si>
  <si>
    <t xml:space="preserve">RN: la contraseña es obligatoria</t>
  </si>
  <si>
    <t xml:space="preserve">Login sin contraseña</t>
  </si>
  <si>
    <t xml:space="preserve">solo email</t>
  </si>
  <si>
    <t xml:space="preserve">CN-AUTH-19</t>
  </si>
  <si>
    <t xml:space="preserve">Login con correo mal formado</t>
  </si>
  <si>
    <t xml:space="preserve">email="sin-arroba"</t>
  </si>
  <si>
    <t xml:space="preserve">CN-AUTH-20</t>
  </si>
  <si>
    <t xml:space="preserve">TE</t>
  </si>
  <si>
    <t xml:space="preserve">RN: las rutas privadas exigen sesión</t>
  </si>
  <si>
    <t xml:space="preserve">Sin token: /me rechaza</t>
  </si>
  <si>
    <t xml:space="preserve">GET /api/auth/me sin encabezado</t>
  </si>
  <si>
    <t xml:space="preserve">{ status: 401, mensaje: 'No autorizado, falta el token' }</t>
  </si>
  <si>
    <t xml:space="preserve">CN-AUTH-21</t>
  </si>
  <si>
    <t xml:space="preserve">RN: las rutas privadas exigen un token válido</t>
  </si>
  <si>
    <t xml:space="preserve">Token basura</t>
  </si>
  <si>
    <t xml:space="preserve">Authorization: Bearer abc.def.ghi</t>
  </si>
  <si>
    <t xml:space="preserve">{ status: 401, mensaje: 'Token inválido o expirado' }</t>
  </si>
  <si>
    <t xml:space="preserve">CN-AUTH-22</t>
  </si>
  <si>
    <t xml:space="preserve">RN: el token debe pertenecer a un usuario existente</t>
  </si>
  <si>
    <t xml:space="preserve">Token válido de un usuario que ya no existe</t>
  </si>
  <si>
    <t xml:space="preserve">token firmado con id inexistente</t>
  </si>
  <si>
    <t xml:space="preserve">{ status: 401, mensaje: 'Usuario no encontrado' }</t>
  </si>
  <si>
    <t xml:space="preserve">CN-AUTH-23</t>
  </si>
  <si>
    <t xml:space="preserve">RN: solo se aceptan tokens firmados por el servidor</t>
  </si>
  <si>
    <t xml:space="preserve">Token firmado con otra clave (falsificado)</t>
  </si>
  <si>
    <t xml:space="preserve">jwt firmado con clave ajena</t>
  </si>
  <si>
    <t xml:space="preserve">CN-AUTH-24</t>
  </si>
  <si>
    <t xml:space="preserve">RN: el token expira</t>
  </si>
  <si>
    <t xml:space="preserve">Token expirado</t>
  </si>
  <si>
    <t xml:space="preserve">jwt con expiración en el pasado</t>
  </si>
  <si>
    <t xml:space="preserve">CN-AUTH-25</t>
  </si>
  <si>
    <t xml:space="preserve">RN: el esquema del encabezado debe ser Bearer</t>
  </si>
  <si>
    <t xml:space="preserve">Encabezado sin la palabra Bearer</t>
  </si>
  <si>
    <t xml:space="preserve">Authorization: &lt;token&gt;</t>
  </si>
  <si>
    <t xml:space="preserve">CN-AUTH-26</t>
  </si>
  <si>
    <t xml:space="preserve">RN: con sesión válida se ve el perfil sin datos secretos</t>
  </si>
  <si>
    <t xml:space="preserve">Token válido: /me devuelve el perfil y nunca la contraseña</t>
  </si>
  <si>
    <t xml:space="preserve">Bearer &lt;token válido&gt;</t>
  </si>
  <si>
    <t xml:space="preserve">{ status: 200, tienePerfil: true, sinPassword: true }</t>
  </si>
  <si>
    <t xml:space="preserve">CN-AUTH-27</t>
  </si>
  <si>
    <t xml:space="preserve">RN (seguridad): el login no acepta operadores de base de datos en lugar de texto</t>
  </si>
  <si>
    <t xml:space="preserve">Intento de inyección tipo NoSQL: email {"$gt":""} y password {"$gt":""}</t>
  </si>
  <si>
    <t xml:space="preserve">email y password como objetos</t>
  </si>
  <si>
    <t xml:space="preserve">CN-AUTH-28</t>
  </si>
  <si>
    <t xml:space="preserve">RN: un dato de tipo equivocado es error del cliente (4xx), nunca un error del servidor</t>
  </si>
  <si>
    <t xml:space="preserve">Login con correo válido pero contraseña que no es texto (objeto, número, lista)</t>
  </si>
  <si>
    <t xml:space="preserve">password = {"a":1} | 123456 | ["x"]</t>
  </si>
  <si>
    <t xml:space="preserve">{ statuses: [ 400, 400, 400 ] }</t>
  </si>
  <si>
    <t xml:space="preserve">{ statuses: [ 500, 500, 500 ] }</t>
  </si>
  <si>
    <t xml:space="preserve">CN-AUTH-29</t>
  </si>
  <si>
    <t xml:space="preserve">RN (seguridad): un token sin firma (alg "none") no se acepta</t>
  </si>
  <si>
    <t xml:space="preserve">Token falsificado con algoritmo none</t>
  </si>
  <si>
    <t xml:space="preserve">jwt con header {"alg":"none"} y el id de un usuario real</t>
  </si>
  <si>
    <t xml:space="preserve">{ status: 401 }</t>
  </si>
  <si>
    <t xml:space="preserve">CN-WAL-01</t>
  </si>
  <si>
    <t xml:space="preserve">Billetera</t>
  </si>
  <si>
    <t xml:space="preserve">RN: recarga entre 100 y 100,000 fichas</t>
  </si>
  <si>
    <t xml:space="preserve">Recarga de 99 (justo debajo del mínimo)</t>
  </si>
  <si>
    <t xml:space="preserve">amount=99</t>
  </si>
  <si>
    <t xml:space="preserve">{ status: 400, saldoCambia: false }</t>
  </si>
  <si>
    <t xml:space="preserve">CN-WAL-02</t>
  </si>
  <si>
    <t xml:space="preserve">Recarga de 100 (mínimo exacto)</t>
  </si>
  <si>
    <t xml:space="preserve">amount=100</t>
  </si>
  <si>
    <t xml:space="preserve">{ status: 200, saldo: 100 }</t>
  </si>
  <si>
    <t xml:space="preserve">CN-WAL-03</t>
  </si>
  <si>
    <t xml:space="preserve">Recarga de 100,000 (máximo exacto)</t>
  </si>
  <si>
    <t xml:space="preserve">amount=100000</t>
  </si>
  <si>
    <t xml:space="preserve">{ status: 200, saldo: 100000 }</t>
  </si>
  <si>
    <t xml:space="preserve">CN-WAL-04</t>
  </si>
  <si>
    <t xml:space="preserve">Recarga de 100,001 (justo encima del máximo)</t>
  </si>
  <si>
    <t xml:space="preserve">amount=100001</t>
  </si>
  <si>
    <t xml:space="preserve">CN-WAL-05</t>
  </si>
  <si>
    <t xml:space="preserve">RN: el monto debe ser un entero positivo</t>
  </si>
  <si>
    <t xml:space="preserve">Montos inválidos: decimal, texto, negativo, cero, vacío</t>
  </si>
  <si>
    <t xml:space="preserve">amount = 100.5 | "abc" | -500 | 0 | null</t>
  </si>
  <si>
    <t xml:space="preserve">{ statuses: [ 400, 400, 400, 400, 400 ], saldoCambia: false }</t>
  </si>
  <si>
    <t xml:space="preserve">CN-WAL-06</t>
  </si>
  <si>
    <t xml:space="preserve">RN: el monto puede llegar como texto numérico</t>
  </si>
  <si>
    <t xml:space="preserve">Monto "250" (texto numérico, clase válida)</t>
  </si>
  <si>
    <t xml:space="preserve">amount="250"</t>
  </si>
  <si>
    <t xml:space="preserve">{ status: 200, saldo: 250 }</t>
  </si>
  <si>
    <t xml:space="preserve">CN-WAL-07</t>
  </si>
  <si>
    <t xml:space="preserve">RN: recargar exige sesión</t>
  </si>
  <si>
    <t xml:space="preserve">Recarga sin token</t>
  </si>
  <si>
    <t xml:space="preserve">POST sin Authorization</t>
  </si>
  <si>
    <t xml:space="preserve">CN-WAL-08</t>
  </si>
  <si>
    <t xml:space="preserve">ES</t>
  </si>
  <si>
    <t xml:space="preserve">RN: el saldo es la suma exacta de las recargas</t>
  </si>
  <si>
    <t xml:space="preserve">Tres recargas seguidas suman exactamente</t>
  </si>
  <si>
    <t xml:space="preserve">+100, +200, +300 sobre saldo 1,000</t>
  </si>
  <si>
    <t xml:space="preserve">{ saldo: 1600 }</t>
  </si>
  <si>
    <t xml:space="preserve">CN-WAL-09</t>
  </si>
  <si>
    <t xml:space="preserve">RN: toda operación queda en el historial con el saldo resultante</t>
  </si>
  <si>
    <t xml:space="preserve">El historial registra la recarga con su saldo posterior</t>
  </si>
  <si>
    <t xml:space="preserve">recarga 500 sobre 1,000</t>
  </si>
  <si>
    <t xml:space="preserve">{ tipo: 'recharge', monto: 500, saldoDespues: 1500 }</t>
  </si>
  <si>
    <t xml:space="preserve">CN-WAL-10</t>
  </si>
  <si>
    <t xml:space="preserve">RN: el historial es privado de cada usuario</t>
  </si>
  <si>
    <t xml:space="preserve">Un usuario no ve las transacciones de otro</t>
  </si>
  <si>
    <t xml:space="preserve">usuario B consulta su historial</t>
  </si>
  <si>
    <t xml:space="preserve">{ cantidad: 0 }</t>
  </si>
  <si>
    <t xml:space="preserve">CN-GEN-01</t>
  </si>
  <si>
    <t xml:space="preserve">API general</t>
  </si>
  <si>
    <t xml:space="preserve">RN: rutas desconocidas responden JSON 404</t>
  </si>
  <si>
    <t xml:space="preserve">Ruta inexistente</t>
  </si>
  <si>
    <t xml:space="preserve">GET /api/no-existe</t>
  </si>
  <si>
    <t xml:space="preserve">{ status: 404, esJson: true }</t>
  </si>
  <si>
    <t xml:space="preserve">CN-GEN-02</t>
  </si>
  <si>
    <t xml:space="preserve">RN: un JSON mal formado no tumba el servidor</t>
  </si>
  <si>
    <t xml:space="preserve">Cuerpo con JSON roto</t>
  </si>
  <si>
    <t xml:space="preserve">POST register con "{usuario:"</t>
  </si>
  <si>
    <t xml:space="preserve">{ status: 400, sigueVivo: 200 }</t>
  </si>
  <si>
    <t xml:space="preserve">CN-GEN-03</t>
  </si>
  <si>
    <t xml:space="preserve">RN: el cuerpo de una petición no puede pasar de 10 KB</t>
  </si>
  <si>
    <t xml:space="preserve">Cuerpo de 20 KB (por encima del límite)</t>
  </si>
  <si>
    <t xml:space="preserve">JSON de 20,000 caracteres</t>
  </si>
  <si>
    <t xml:space="preserve">{ status: 413 }</t>
  </si>
  <si>
    <t xml:space="preserve">CN-GEN-04</t>
  </si>
  <si>
    <t xml:space="preserve">RN: solo el frontend autorizado puede llamar a la API desde un navegador (CORS)</t>
  </si>
  <si>
    <t xml:space="preserve">Origen permitido vs origen desconocido</t>
  </si>
  <si>
    <t xml:space="preserve">Origin: http://localhost:5173 y http://sitio-malo.com</t>
  </si>
  <si>
    <t xml:space="preserve">{ permitido: 'http://localhost:5173', desconocido: null }</t>
  </si>
  <si>
    <t xml:space="preserve">CN-GEN-05</t>
  </si>
  <si>
    <t xml:space="preserve">RN: la API no revela la tecnología del servidor</t>
  </si>
  <si>
    <t xml:space="preserve">Encabezados de seguridad (helmet)</t>
  </si>
  <si>
    <t xml:space="preserve">GET /api/health</t>
  </si>
  <si>
    <t xml:space="preserve">{ xPoweredBy: null, nosniff: 'nosniff' }</t>
  </si>
  <si>
    <t xml:space="preserve">CN-SLT-01</t>
  </si>
  <si>
    <t xml:space="preserve">Tragamonedas</t>
  </si>
  <si>
    <t xml:space="preserve">RN: apuesta entre 10 y 100,000</t>
  </si>
  <si>
    <t xml:space="preserve">Apuesta de 9 (justo debajo del mínimo)</t>
  </si>
  <si>
    <t xml:space="preserve">amount=9</t>
  </si>
  <si>
    <t xml:space="preserve">CN-SLT-02</t>
  </si>
  <si>
    <t xml:space="preserve">Apuesta de 10 (mínimo exacto): se cobra y se juega</t>
  </si>
  <si>
    <t xml:space="preserve">amount=10, grilla sin premio</t>
  </si>
  <si>
    <t xml:space="preserve">{ status: 200, saldoFinal: 990, premio: 0 }</t>
  </si>
  <si>
    <t xml:space="preserve">CN-SLT-03</t>
  </si>
  <si>
    <t xml:space="preserve">Apuesta de 100,000 (máximo exacto)</t>
  </si>
  <si>
    <t xml:space="preserve">amount=100000, saldo 200,000</t>
  </si>
  <si>
    <t xml:space="preserve">{ status: 200, saldoFinal: 100000 }</t>
  </si>
  <si>
    <t xml:space="preserve">CN-SLT-04</t>
  </si>
  <si>
    <t xml:space="preserve">Apuesta de 100,001 (justo encima del máximo)</t>
  </si>
  <si>
    <t xml:space="preserve">CN-SLT-05</t>
  </si>
  <si>
    <t xml:space="preserve">RN: la apuesta es un entero</t>
  </si>
  <si>
    <t xml:space="preserve">Apuestas inválidas: decimal, texto, negativa, vacía</t>
  </si>
  <si>
    <t xml:space="preserve">amount = 10.5 | "mucho" | -50 | null</t>
  </si>
  <si>
    <t xml:space="preserve">{ statuses: [ 400, 400, 400, 400 ] }</t>
  </si>
  <si>
    <t xml:space="preserve">CN-SLT-06</t>
  </si>
  <si>
    <t xml:space="preserve">Tabla: saldo vs apuesta → saldo menor rechaza sin tocar nada</t>
  </si>
  <si>
    <t xml:space="preserve">Saldo 50 y apuesta 100: "Saldo insuficiente" y el saldo no cambia</t>
  </si>
  <si>
    <t xml:space="preserve">saldo=50, amount=100</t>
  </si>
  <si>
    <t xml:space="preserve">{ status: 400, mensaje: 'Saldo insuficiente', saldo: 50 }</t>
  </si>
  <si>
    <t xml:space="preserve">CN-SLT-07</t>
  </si>
  <si>
    <t xml:space="preserve">Tabla: saldo igual a la apuesta sí alcanza</t>
  </si>
  <si>
    <t xml:space="preserve">Saldo exactamente igual a la apuesta (100 y 100)</t>
  </si>
  <si>
    <t xml:space="preserve">saldo=100, amount=100</t>
  </si>
  <si>
    <t xml:space="preserve">{ status: 200, saldoFinal: 0 }</t>
  </si>
  <si>
    <t xml:space="preserve">CN-SLT-08</t>
  </si>
  <si>
    <t xml:space="preserve">Tabla: saldo un peso menor no alcanza</t>
  </si>
  <si>
    <t xml:space="preserve">Saldo 99 y apuesta 100</t>
  </si>
  <si>
    <t xml:space="preserve">saldo=99, amount=100</t>
  </si>
  <si>
    <t xml:space="preserve">{ status: 400, saldo: 99 }</t>
  </si>
  <si>
    <t xml:space="preserve">CN-SLT-09</t>
  </si>
  <si>
    <t xml:space="preserve">RN: jugar exige sesión</t>
  </si>
  <si>
    <t xml:space="preserve">Girar sin token</t>
  </si>
  <si>
    <t xml:space="preserve">POST /api/slots/spin sin Authorization</t>
  </si>
  <si>
    <t xml:space="preserve">CN-SLT-10</t>
  </si>
  <si>
    <t xml:space="preserve">Pago: 3 cerezas en línea = ×8 de la apuesta por línea (5 líneas)</t>
  </si>
  <si>
    <t xml:space="preserve">Grilla de 9 cerezas: las 5 líneas pagan</t>
  </si>
  <si>
    <t xml:space="preserve">apuesta 100, todas 🍒</t>
  </si>
  <si>
    <t xml:space="preserve">{ premio: 800, saldoFinal: 1700, lineas: 5 }</t>
  </si>
  <si>
    <t xml:space="preserve">CN-SLT-11</t>
  </si>
  <si>
    <t xml:space="preserve">Pago: 3 sietes en línea = ×200</t>
  </si>
  <si>
    <t xml:space="preserve">Grilla de 9 sietes</t>
  </si>
  <si>
    <t xml:space="preserve">apuesta 100, todas 7️⃣</t>
  </si>
  <si>
    <t xml:space="preserve">{ premio: 20000, saldoFinal: 20900 }</t>
  </si>
  <si>
    <t xml:space="preserve">CN-SLT-12</t>
  </si>
  <si>
    <t xml:space="preserve">Pago: sin 3 iguales en línea no hay premio</t>
  </si>
  <si>
    <t xml:space="preserve">Grilla sin líneas ganadoras</t>
  </si>
  <si>
    <t xml:space="preserve">apuesta 100</t>
  </si>
  <si>
    <t xml:space="preserve">{ premio: 0, lineas: 0, saldoFinal: 900 }</t>
  </si>
  <si>
    <t xml:space="preserve">CN-SLT-13</t>
  </si>
  <si>
    <t xml:space="preserve">Pozo: 3 o más 🎰 en cualquier lugar ganan el pozo</t>
  </si>
  <si>
    <t xml:space="preserve">Grilla llena de 🎰 (9): gana el pozo acumulado y el pozo se reinicia a 1,000</t>
  </si>
  <si>
    <t xml:space="preserve">pozo=2,500, apuesta 100, 9×🎰</t>
  </si>
  <si>
    <t xml:space="preserve">{ jackpotWon: 2500, saldoFinal: 3400, pozoDespues: 1000 }</t>
  </si>
  <si>
    <t xml:space="preserve">CN-SLT-14</t>
  </si>
  <si>
    <t xml:space="preserve">Pozo: con 2 🎰 NO se gana (el mínimo es 3)</t>
  </si>
  <si>
    <t xml:space="preserve">Exactamente 2 comodines: no hay pozo y el pozo crece 1% de la apuesta</t>
  </si>
  <si>
    <t xml:space="preserve">pozo=1,000, apuesta 100, 2×🎰</t>
  </si>
  <si>
    <t xml:space="preserve">{ scatter: 2, jackpotWin: false, jackpotWon: 0, pozoDespues: 1001 }</t>
  </si>
  <si>
    <t xml:space="preserve">CN-SLT-15</t>
  </si>
  <si>
    <t xml:space="preserve">Pozo: cada apuesta aporta 1% (mínimo 1 ficha)</t>
  </si>
  <si>
    <t xml:space="preserve">Aporte con apuesta 10 (0.1 → mínimo 1) y con apuesta 250 (2.5 → 2)</t>
  </si>
  <si>
    <t xml:space="preserve">dos giros perdedores: 10 y 250</t>
  </si>
  <si>
    <t xml:space="preserve">{ tras10: 1001, tras250: 1003 }</t>
  </si>
  <si>
    <t xml:space="preserve">CN-SLT-16</t>
  </si>
  <si>
    <t xml:space="preserve">RN: ver el pozo exige sesión</t>
  </si>
  <si>
    <t xml:space="preserve">GET /jackpot sin token y con token</t>
  </si>
  <si>
    <t xml:space="preserve">sin token / con token</t>
  </si>
  <si>
    <t xml:space="preserve">{ sinToken: 401, conToken: 200, monto: 1000 }</t>
  </si>
  <si>
    <t xml:space="preserve">CN-SLT-17</t>
  </si>
  <si>
    <t xml:space="preserve">RN: conservación del dinero: saldo final = inicial − apuestas + premios</t>
  </si>
  <si>
    <t xml:space="preserve">Propiedad con 60 giros reales (sorteo criptográfico real)</t>
  </si>
  <si>
    <t xml:space="preserve">60 giros de 10 fichas</t>
  </si>
  <si>
    <t xml:space="preserve">{ conserva: true }</t>
  </si>
  <si>
    <t xml:space="preserve">CN-VIP-01</t>
  </si>
  <si>
    <t xml:space="preserve">Niveles VIP</t>
  </si>
  <si>
    <t xml:space="preserve">RN: Plata ≥5,000 · Oro ≥20,000 · VIP ≥50,000 fichas apostadas en total</t>
  </si>
  <si>
    <t xml:space="preserve">Total 4,999 apostados: sigue en Bronce</t>
  </si>
  <si>
    <t xml:space="preserve">ya apostado 4989 + apuesta de 10</t>
  </si>
  <si>
    <t xml:space="preserve">{ nivel: 'Bronce' }</t>
  </si>
  <si>
    <t xml:space="preserve">CN-VIP-02</t>
  </si>
  <si>
    <t xml:space="preserve">Total 5,000 apostados: sube a Plata</t>
  </si>
  <si>
    <t xml:space="preserve">ya apostado 4990 + apuesta de 10</t>
  </si>
  <si>
    <t xml:space="preserve">{ nivel: 'Plata' }</t>
  </si>
  <si>
    <t xml:space="preserve">CN-VIP-03</t>
  </si>
  <si>
    <t xml:space="preserve">Total 19,999: sigue en Plata</t>
  </si>
  <si>
    <t xml:space="preserve">ya apostado 19989 + apuesta de 10</t>
  </si>
  <si>
    <t xml:space="preserve">CN-VIP-04</t>
  </si>
  <si>
    <t xml:space="preserve">Total 20,000: sube a Oro</t>
  </si>
  <si>
    <t xml:space="preserve">ya apostado 19990 + apuesta de 10</t>
  </si>
  <si>
    <t xml:space="preserve">{ nivel: 'Oro' }</t>
  </si>
  <si>
    <t xml:space="preserve">CN-VIP-05</t>
  </si>
  <si>
    <t xml:space="preserve">Total 49,999: sigue en Oro</t>
  </si>
  <si>
    <t xml:space="preserve">ya apostado 49989 + apuesta de 10</t>
  </si>
  <si>
    <t xml:space="preserve">CN-VIP-06</t>
  </si>
  <si>
    <t xml:space="preserve">Total 50,000: sube a VIP LUCK.IO</t>
  </si>
  <si>
    <t xml:space="preserve">ya apostado 49990 + apuesta de 10</t>
  </si>
  <si>
    <t xml:space="preserve">{ nivel: 'VIP LUCK.IO' }</t>
  </si>
  <si>
    <t xml:space="preserve">CN-RL-01</t>
  </si>
  <si>
    <t xml:space="preserve">Ruleta</t>
  </si>
  <si>
    <t xml:space="preserve">RN: entre 1 y 20 apuestas por tirada</t>
  </si>
  <si>
    <t xml:space="preserve">Cero apuestas (debajo del mínimo)</t>
  </si>
  <si>
    <t xml:space="preserve">bets=[]</t>
  </si>
  <si>
    <t xml:space="preserve">CN-RL-02</t>
  </si>
  <si>
    <t xml:space="preserve">Una sola apuesta (mínimo exacto)</t>
  </si>
  <si>
    <t xml:space="preserve">1 apuesta de 10 al rojo</t>
  </si>
  <si>
    <t xml:space="preserve">{ status: 200 }</t>
  </si>
  <si>
    <t xml:space="preserve">CN-RL-03</t>
  </si>
  <si>
    <t xml:space="preserve">Veinte apuestas (máximo exacto)</t>
  </si>
  <si>
    <t xml:space="preserve">20 apuestas de 10 a distintos plenos</t>
  </si>
  <si>
    <t xml:space="preserve">{ status: 200, totalApostado: 200 }</t>
  </si>
  <si>
    <t xml:space="preserve">CN-RL-04</t>
  </si>
  <si>
    <t xml:space="preserve">Veintiuna apuestas (justo encima del máximo)</t>
  </si>
  <si>
    <t xml:space="preserve">21 apuestas</t>
  </si>
  <si>
    <t xml:space="preserve">CN-RL-05</t>
  </si>
  <si>
    <t xml:space="preserve">RN: cada apuesta entre 10 y 100,000</t>
  </si>
  <si>
    <t xml:space="preserve">Apuesta de 9 (debajo del mínimo)</t>
  </si>
  <si>
    <t xml:space="preserve">CN-RL-06</t>
  </si>
  <si>
    <t xml:space="preserve">Apuesta de 10 (mínimo exacto)</t>
  </si>
  <si>
    <t xml:space="preserve">amount=10</t>
  </si>
  <si>
    <t xml:space="preserve">CN-RL-07</t>
  </si>
  <si>
    <t xml:space="preserve">CN-RL-08</t>
  </si>
  <si>
    <t xml:space="preserve">Apuesta de 100,001 (encima del máximo)</t>
  </si>
  <si>
    <t xml:space="preserve">CN-RL-09</t>
  </si>
  <si>
    <t xml:space="preserve">RN: el total de la tirada no pasa de 100,000</t>
  </si>
  <si>
    <t xml:space="preserve">Dos apuestas de 60,000 (total 120,000)</t>
  </si>
  <si>
    <t xml:space="preserve">2 × 60,000</t>
  </si>
  <si>
    <t xml:space="preserve">{ status: 400, mensaje: 'El total apostado en la tirada no puede superar 100,000' }</t>
  </si>
  <si>
    <t xml:space="preserve">CN-RL-10</t>
  </si>
  <si>
    <t xml:space="preserve">RN: el monto es un entero</t>
  </si>
  <si>
    <t xml:space="preserve">Montos inválidos: decimal, texto, negativo, vacío</t>
  </si>
  <si>
    <t xml:space="preserve">amount = 10.5 | "x" | -10 | null</t>
  </si>
  <si>
    <t xml:space="preserve">CN-RL-11</t>
  </si>
  <si>
    <t xml:space="preserve">RN: solo existen 6 tipos de apuesta</t>
  </si>
  <si>
    <t xml:space="preserve">Tipo de apuesta inexistente</t>
  </si>
  <si>
    <t xml:space="preserve">betType="banana"</t>
  </si>
  <si>
    <t xml:space="preserve">{ status: 400, mensaje: 'Tipo de apuesta inválido' }</t>
  </si>
  <si>
    <t xml:space="preserve">CN-RL-12</t>
  </si>
  <si>
    <t xml:space="preserve">RN: cada tipo acepta solo sus selecciones (pleno 0-36, color rojo/negro, par/impar, falta/pasa, docena y columna 1-3)</t>
  </si>
  <si>
    <t xml:space="preserve">Selecciones inválidas para cada tipo (9 clases inválidas)</t>
  </si>
  <si>
    <t xml:space="preserve">pleno 37 | pleno -1 | pleno "abc" | color "verde" | parity "primo" | half "medio" | docena 4 | docena 0 | columna 4</t>
  </si>
  <si>
    <t xml:space="preserve">{ statuses: [ 400, 400, 400, 400, 400, 400, 400, 400, 400 ] }</t>
  </si>
  <si>
    <t xml:space="preserve">CN-RL-13</t>
  </si>
  <si>
    <t xml:space="preserve">RN: pleno del 0 al 36; docena y columna del 1 al 3</t>
  </si>
  <si>
    <t xml:space="preserve">Selecciones en el borde permitido: pleno 0 y 36, docena 1 y 3, columna 1 y 3</t>
  </si>
  <si>
    <t xml:space="preserve">6 apuestas límite aceptadas</t>
  </si>
  <si>
    <t xml:space="preserve">{ statuses: [ 200, 200, 200, 200, 200, 200 ] }</t>
  </si>
  <si>
    <t xml:space="preserve">CN-RL-14</t>
  </si>
  <si>
    <t xml:space="preserve">RN: una selección vacía o nula NO es el número 0</t>
  </si>
  <si>
    <t xml:space="preserve">Pleno con selección nula, vacía, [] o false debe rechazarse (no equivale a apostar al 0)</t>
  </si>
  <si>
    <t xml:space="preserve">straight con selection = null | "" | [] | false</t>
  </si>
  <si>
    <t xml:space="preserve">{ statuses: [ 400, 400, 400, 400 ], saldoCambia: false }</t>
  </si>
  <si>
    <t xml:space="preserve">{ statuses: [ 200, 200, 200, 200 ], saldoCambia: true }</t>
  </si>
  <si>
    <t xml:space="preserve">CN-RL-15</t>
  </si>
  <si>
    <t xml:space="preserve">RN: la selección puede llegar como texto numérico</t>
  </si>
  <si>
    <t xml:space="preserve">Pleno "17" como texto cuenta como el número 17</t>
  </si>
  <si>
    <t xml:space="preserve">selection="17", sale 17</t>
  </si>
  <si>
    <t xml:space="preserve">{ status: 200, premio: 360 }</t>
  </si>
  <si>
    <t xml:space="preserve">CN-RL-16</t>
  </si>
  <si>
    <t xml:space="preserve">Pago: pleno 35 a 1 (devuelve 36 veces)</t>
  </si>
  <si>
    <t xml:space="preserve">Pleno acertado: 10 al 7, sale 7</t>
  </si>
  <si>
    <t xml:space="preserve">pleno 7 por 10, sale 7</t>
  </si>
  <si>
    <t xml:space="preserve">{ totalWin: 360, saldoFinal: 1350 }</t>
  </si>
  <si>
    <t xml:space="preserve">CN-RL-17</t>
  </si>
  <si>
    <t xml:space="preserve">Pago: pleno fallado pierde la apuesta</t>
  </si>
  <si>
    <t xml:space="preserve">Pleno 7 por 10, sale 8</t>
  </si>
  <si>
    <t xml:space="preserve">pleno 7 por 10, sale 8</t>
  </si>
  <si>
    <t xml:space="preserve">{ totalWin: 0, saldoFinal: 990 }</t>
  </si>
  <si>
    <t xml:space="preserve">CN-RL-18</t>
  </si>
  <si>
    <t xml:space="preserve">Pago: color 1 a 1 (devuelve el doble); el 1 es rojo</t>
  </si>
  <si>
    <t xml:space="preserve">Rojo gana con el 1; negro pierde con el 1</t>
  </si>
  <si>
    <t xml:space="preserve">rojo 100 y negro 100, sale 1</t>
  </si>
  <si>
    <t xml:space="preserve">{ totalWin: 200, saldoFinal: 1000 }</t>
  </si>
  <si>
    <t xml:space="preserve">CN-RL-19</t>
  </si>
  <si>
    <t xml:space="preserve">Regla La Partage: con el 0 las apuestas simples devuelven la mitad</t>
  </si>
  <si>
    <t xml:space="preserve">Rojo 100 con el 0: devuelve 50</t>
  </si>
  <si>
    <t xml:space="preserve">rojo 100, sale 0</t>
  </si>
  <si>
    <t xml:space="preserve">{ totalWin: 50, saldoFinal: 950 }</t>
  </si>
  <si>
    <t xml:space="preserve">CN-RL-20</t>
  </si>
  <si>
    <t xml:space="preserve">Regla La Partage: aplica a color, par/impar y falta/pasa, no a docena, columna ni pleno</t>
  </si>
  <si>
    <t xml:space="preserve">Con el 0: par 100, falta 100, docena 100, columna 100, pleno 5 de 100</t>
  </si>
  <si>
    <t xml:space="preserve">sale 0</t>
  </si>
  <si>
    <t xml:space="preserve">{ totalWin: 100, saldoFinal: 100 }</t>
  </si>
  <si>
    <t xml:space="preserve">CN-RL-21</t>
  </si>
  <si>
    <t xml:space="preserve">Pago: docena 2 = números 13 a 24 (2 a 1)</t>
  </si>
  <si>
    <t xml:space="preserve">Fronteras de la docena 2: 12 y 25 pierden; 13 y 24 ganan</t>
  </si>
  <si>
    <t xml:space="preserve">docena 2 por 100 con 12, 13, 24, 25</t>
  </si>
  <si>
    <t xml:space="preserve">{ con12: 0, con13: 300, con24: 300, con25: 0 }</t>
  </si>
  <si>
    <t xml:space="preserve">CN-RL-22</t>
  </si>
  <si>
    <t xml:space="preserve">Pago: columna 1 = 1,4,7…34 (2 a 1)</t>
  </si>
  <si>
    <t xml:space="preserve">Columna 1 gana con 34 y pierde con 35</t>
  </si>
  <si>
    <t xml:space="preserve">columna 1 por 100 con 34 y 35</t>
  </si>
  <si>
    <t xml:space="preserve">{ con34: 300, con35: 0 }</t>
  </si>
  <si>
    <t xml:space="preserve">CN-RL-23</t>
  </si>
  <si>
    <t xml:space="preserve">Pago: falta = 1-18, pasa = 19-36</t>
  </si>
  <si>
    <t xml:space="preserve">Frontera 18/19: falta gana con 18, pasa gana con 19</t>
  </si>
  <si>
    <t xml:space="preserve">falta con 18 · pasa con 18 · falta con 19 · pasa con 19</t>
  </si>
  <si>
    <t xml:space="preserve">{ faltaCon18: 200, pasaCon18: 0, faltaCon19: 0, pasaCon19: 200 }</t>
  </si>
  <si>
    <t xml:space="preserve">CN-RL-24</t>
  </si>
  <si>
    <t xml:space="preserve">RN: varias apuestas en la misma tirada se liquidan contra el mismo número</t>
  </si>
  <si>
    <t xml:space="preserve">Pleno 17 (50) + negro (100) + docena 2 (100), sale 17: 250 apostados, 2,300 de premio</t>
  </si>
  <si>
    <t xml:space="preserve">sale 17 (negro, docena 2)</t>
  </si>
  <si>
    <t xml:space="preserve">{ totalBet: 250, totalWin: 2300, saldoFinal: 3050 }</t>
  </si>
  <si>
    <t xml:space="preserve">CN-RL-25</t>
  </si>
  <si>
    <t xml:space="preserve">Tabla: saldo menor que el total apostado → se rechaza toda la tirada</t>
  </si>
  <si>
    <t xml:space="preserve">Saldo 100 con apuestas por 150: no se gira ni se cobra nada</t>
  </si>
  <si>
    <t xml:space="preserve">saldo=100, apuestas 100+50</t>
  </si>
  <si>
    <t xml:space="preserve">{ status: 400, saldo: 100, girosRegistrados: 0 }</t>
  </si>
  <si>
    <t xml:space="preserve">CN-RL-26</t>
  </si>
  <si>
    <t xml:space="preserve">POST /api/roulette/spin sin Authorization</t>
  </si>
  <si>
    <t xml:space="preserve">CN-RL-27</t>
  </si>
  <si>
    <t xml:space="preserve">RN: con ≥30 giros de historial, los más repetidos son "calientes" y su pleno paga +50%</t>
  </si>
  <si>
    <t xml:space="preserve">Historial de 40 giros con el 17 en 20: pleno 17 por 10 paga 540 (10×36×1.5)</t>
  </si>
  <si>
    <t xml:space="preserve">40 giros previos (17 sale 20 veces), pleno 17 por 10, sale 17</t>
  </si>
  <si>
    <t xml:space="preserve">{ calienteIncluye17: true, totalWin: 540 }</t>
  </si>
  <si>
    <t xml:space="preserve">CN-RL-28</t>
  </si>
  <si>
    <t xml:space="preserve">RN: hacen falta 30 giros de historial para que existan números calientes</t>
  </si>
  <si>
    <t xml:space="preserve">Con solo 10 giros previos no hay calientes y el pleno paga lo normal (360)</t>
  </si>
  <si>
    <t xml:space="preserve">10 giros previos del 17, pleno 17 por 10</t>
  </si>
  <si>
    <t xml:space="preserve">{ hotNumbers: 0, totalWin: 360 }</t>
  </si>
  <si>
    <t xml:space="preserve">CN-RL-29</t>
  </si>
  <si>
    <t xml:space="preserve">RN: el bono caliente solo aplica al pleno</t>
  </si>
  <si>
    <t xml:space="preserve">Con el 17 caliente, apostar a negro (sale 17) paga solo 2× (200)</t>
  </si>
  <si>
    <t xml:space="preserve">≥30 giros con 17 caliente, negro por 100, sale 17</t>
  </si>
  <si>
    <t xml:space="preserve">{ totalWin: 200 }</t>
  </si>
  <si>
    <t xml:space="preserve">CN-RL-30</t>
  </si>
  <si>
    <t xml:space="preserve">RN: /hot-numbers exige sesión y devuelve una lista</t>
  </si>
  <si>
    <t xml:space="preserve">Consulta de números calientes sin y con token</t>
  </si>
  <si>
    <t xml:space="preserve">GET /api/roulette/hot-numbers</t>
  </si>
  <si>
    <t xml:space="preserve">{ sinToken: 401, conToken: 200, esLista: true }</t>
  </si>
  <si>
    <t xml:space="preserve">CN-BAC-01</t>
  </si>
  <si>
    <t xml:space="preserve">Bacará</t>
  </si>
  <si>
    <t xml:space="preserve">RN: hay que apostar en al menos una casilla</t>
  </si>
  <si>
    <t xml:space="preserve">Sin apuestas: objeto vacío y todo en cero</t>
  </si>
  <si>
    <t xml:space="preserve">bets={} | bets todos 0</t>
  </si>
  <si>
    <t xml:space="preserve">{ statuses: [ 400, 400 ] }</t>
  </si>
  <si>
    <t xml:space="preserve">CN-BAC-02</t>
  </si>
  <si>
    <t xml:space="preserve">RN: apuesta mínima de 10 por casilla</t>
  </si>
  <si>
    <t xml:space="preserve">Casilla con 5 (debajo del mínimo)</t>
  </si>
  <si>
    <t xml:space="preserve">player=5</t>
  </si>
  <si>
    <t xml:space="preserve">CN-BAC-03</t>
  </si>
  <si>
    <t xml:space="preserve">Casilla con 10 (mínimo exacto)</t>
  </si>
  <si>
    <t xml:space="preserve">player=10</t>
  </si>
  <si>
    <t xml:space="preserve">CN-BAC-04</t>
  </si>
  <si>
    <t xml:space="preserve">RN: el total de la ronda no pasa de 100,000</t>
  </si>
  <si>
    <t xml:space="preserve">Total de 100,000 (máximo) y de 100,001 (encima)</t>
  </si>
  <si>
    <t xml:space="preserve">player=100000 | player=100000 + tie=1…</t>
  </si>
  <si>
    <t xml:space="preserve">{ enElMaximo: 200, porEncima: 400 }</t>
  </si>
  <si>
    <t xml:space="preserve">CN-BAC-05</t>
  </si>
  <si>
    <t xml:space="preserve">RN: cada apuesta es un entero positivo</t>
  </si>
  <si>
    <t xml:space="preserve">Apuestas inválidas: negativa, decimal, texto</t>
  </si>
  <si>
    <t xml:space="preserve">player=-10 | player=10.5 | player="abc"</t>
  </si>
  <si>
    <t xml:space="preserve">CN-BAC-06</t>
  </si>
  <si>
    <t xml:space="preserve">Tabla: saldo menor que el total → se rechaza sin cobrar</t>
  </si>
  <si>
    <t xml:space="preserve">Saldo 100, apuestas 100+100</t>
  </si>
  <si>
    <t xml:space="preserve">saldo=100, player=100 + banker=100</t>
  </si>
  <si>
    <t xml:space="preserve">{ status: 400, saldo: 100 }</t>
  </si>
  <si>
    <t xml:space="preserve">CN-BAC-07</t>
  </si>
  <si>
    <t xml:space="preserve">Jugar sin token</t>
  </si>
  <si>
    <t xml:space="preserve">POST /api/baccarat/play sin Authorization</t>
  </si>
  <si>
    <t xml:space="preserve">CN-BAC-08</t>
  </si>
  <si>
    <t xml:space="preserve">Pago: Punto 1 a 1</t>
  </si>
  <si>
    <t xml:space="preserve">Gana el Punto (natural 9 contra 5) con 100 al Punto</t>
  </si>
  <si>
    <t xml:space="preserve">Punto 4+5=9, Banca 2+3=5, apuesta player 100</t>
  </si>
  <si>
    <t xml:space="preserve">{ ganador: 'player', natural: true, totalWin: 200, saldo: 10100 }</t>
  </si>
  <si>
    <t xml:space="preserve">CN-BAC-09</t>
  </si>
  <si>
    <t xml:space="preserve">Pago: Banca 1 a 1 con 5% de comisión</t>
  </si>
  <si>
    <t xml:space="preserve">Gana la Banca con 100 a la Banca: paga 95 de ganancia (195 en total)</t>
  </si>
  <si>
    <t xml:space="preserve">Punto 2+3 roba K (0)=5; Banca 4+3=7; banker 100</t>
  </si>
  <si>
    <t xml:space="preserve">{ ganador: 'banker', totalWin: 195, saldo: 10095 }</t>
  </si>
  <si>
    <t xml:space="preserve">CN-BAC-10</t>
  </si>
  <si>
    <t xml:space="preserve">Pago: Empate 8 a 1; Punto y Banca se devuelven</t>
  </si>
  <si>
    <t xml:space="preserve">Empate 8-8 con 100 al Punto, 100 a la Banca y 50 al Empate</t>
  </si>
  <si>
    <t xml:space="preserve">Punto 4+4=8, Banca 5+3=8</t>
  </si>
  <si>
    <t xml:space="preserve">{ ganador: 'tie', totalBet: 250, totalWin: 650, saldo: 10400 }</t>
  </si>
  <si>
    <t xml:space="preserve">CN-BAC-11</t>
  </si>
  <si>
    <t xml:space="preserve">Pago: apuesta al Empate pierde si no hay empate</t>
  </si>
  <si>
    <t xml:space="preserve">Gana el Punto: la apuesta de 50 al Empate se pierde</t>
  </si>
  <si>
    <t xml:space="preserve">Punto 9 vs Banca 5, tie 50 + player 100</t>
  </si>
  <si>
    <t xml:space="preserve">{ totalWin: 200, saldo: 10050 }</t>
  </si>
  <si>
    <t xml:space="preserve">CN-BAC-12</t>
  </si>
  <si>
    <t xml:space="preserve">Pago: Par del Punto 11 a 1 (las 2 primeras cartas del mismo valor)</t>
  </si>
  <si>
    <t xml:space="preserve">K♥ + K♠ en el Punto: par de 100 paga 1,200</t>
  </si>
  <si>
    <t xml:space="preserve">Punto K+K, Banca 3+5=8</t>
  </si>
  <si>
    <t xml:space="preserve">{ playerPair: true, totalWin: 1200, saldo: 11100 }</t>
  </si>
  <si>
    <t xml:space="preserve">CN-BAC-13</t>
  </si>
  <si>
    <t xml:space="preserve">Par: K con 10 NO es par (valores distintos aunque ambos valgan 0)</t>
  </si>
  <si>
    <t xml:space="preserve">K♥ + 10♠: no hay par, se pierde la apuesta</t>
  </si>
  <si>
    <t xml:space="preserve">Punto K+10</t>
  </si>
  <si>
    <t xml:space="preserve">{ playerPair: false, totalWin: 0, saldo: 9900 }</t>
  </si>
  <si>
    <t xml:space="preserve">CN-BAC-14</t>
  </si>
  <si>
    <t xml:space="preserve">Pago: Par de la Banca 11 a 1</t>
  </si>
  <si>
    <t xml:space="preserve">Banca 9♣ + 9♠: par de 10 paga 120</t>
  </si>
  <si>
    <t xml:space="preserve">Banca 9+9</t>
  </si>
  <si>
    <t xml:space="preserve">{ bankerPair: true, totalWin: 120 }</t>
  </si>
  <si>
    <t xml:space="preserve">CN-BAC-15</t>
  </si>
  <si>
    <t xml:space="preserve">RN: se pueden hacer varias apuestas a la vez; cada una se liquida aparte</t>
  </si>
  <si>
    <t xml:space="preserve">Punto 100 + Banca 100 cuando gana el Punto: se cobran 200 y se pagan 200</t>
  </si>
  <si>
    <t xml:space="preserve">Punto 9 vs Banca 5</t>
  </si>
  <si>
    <t xml:space="preserve">{ totalBet: 200, totalWin: 200, saldo: 10000 }</t>
  </si>
  <si>
    <t xml:space="preserve">CN-BAC-16</t>
  </si>
  <si>
    <t xml:space="preserve">Regla: el Punto pide con 5 o menos y se planta con 6 o más</t>
  </si>
  <si>
    <t xml:space="preserve">Punto 5 roba tercera carta (2 cartas → 3)</t>
  </si>
  <si>
    <t xml:space="preserve">Punto 2+3=5</t>
  </si>
  <si>
    <t xml:space="preserve">{ cartasPunto: 3 }</t>
  </si>
  <si>
    <t xml:space="preserve">CN-BAC-17</t>
  </si>
  <si>
    <t xml:space="preserve">Punto 6 se planta (queda con 2 cartas) y la Banca con 5 sí roba</t>
  </si>
  <si>
    <t xml:space="preserve">Punto 3+3=6, Banca 2+3=5</t>
  </si>
  <si>
    <t xml:space="preserve">{ cartasPunto: 2, cartasBanca: 3, ganador: 'banker' }</t>
  </si>
  <si>
    <t xml:space="preserve">CN-BAC-18</t>
  </si>
  <si>
    <t xml:space="preserve">Regla: Banca con 6 pide solo si la 3.ª del Punto es 6 o 7</t>
  </si>
  <si>
    <t xml:space="preserve">Banca 6 y 3.ª del Punto = 6 → la Banca pide</t>
  </si>
  <si>
    <t xml:space="preserve">Punto 2+3 roba 6; Banca 3+3=6</t>
  </si>
  <si>
    <t xml:space="preserve">{ cartasBanca: 3, ganador: 'banker' }</t>
  </si>
  <si>
    <t xml:space="preserve">CN-BAC-19</t>
  </si>
  <si>
    <t xml:space="preserve">Banca 6 y 3.ª del Punto = 5 → la Banca se planta</t>
  </si>
  <si>
    <t xml:space="preserve">Punto 2+3 roba 5; Banca 3+3=6</t>
  </si>
  <si>
    <t xml:space="preserve">{ cartasBanca: 2, ganador: 'banker' }</t>
  </si>
  <si>
    <t xml:space="preserve">CN-BAC-20</t>
  </si>
  <si>
    <t xml:space="preserve">Regla: con 8 o 9 ("natural") nadie roba</t>
  </si>
  <si>
    <t xml:space="preserve">Natural en el Punto: ni el Punto ni la Banca reciben tercera carta</t>
  </si>
  <si>
    <t xml:space="preserve">Punto 4+5=9, Banca 2+3=5 (la Banca "pediría" si no hubiera natural)</t>
  </si>
  <si>
    <t xml:space="preserve">{ cartasPunto: 2, cartasBanca: 2, natural: true }</t>
  </si>
  <si>
    <t xml:space="preserve">CN-BAC-21</t>
  </si>
  <si>
    <t xml:space="preserve">Regla: la Banca se planta con 7 si el Punto se plantó</t>
  </si>
  <si>
    <t xml:space="preserve">Punto 6 (se planta) y Banca 7: la Banca no roba</t>
  </si>
  <si>
    <t xml:space="preserve">Punto 3+3=6, Banca 4+3=7</t>
  </si>
  <si>
    <t xml:space="preserve">CN-BAC-22</t>
  </si>
  <si>
    <t xml:space="preserve">RN: el mazo es de 8 barajas y se usa uno nuevo por ronda</t>
  </si>
  <si>
    <t xml:space="preserve">Una ronda con el mazo real termina en un resultado válido</t>
  </si>
  <si>
    <t xml:space="preserve">ronda sin mazo arreglado</t>
  </si>
  <si>
    <t xml:space="preserve">{ valido: true }</t>
  </si>
  <si>
    <t xml:space="preserve">CN-BAC-23</t>
  </si>
  <si>
    <t xml:space="preserve">RN: el marcador muestra las últimas rondas, la más reciente primero</t>
  </si>
  <si>
    <t xml:space="preserve">Tras 2 rondas el historial lista primero la última</t>
  </si>
  <si>
    <t xml:space="preserve">ronda 1 gana Punto, ronda 2 gana Banca</t>
  </si>
  <si>
    <t xml:space="preserve">{ cantidad: 2, ultimaPrimero: 'banker' }</t>
  </si>
  <si>
    <t xml:space="preserve">CN-BJ-01</t>
  </si>
  <si>
    <t xml:space="preserve">Blackjack</t>
  </si>
  <si>
    <t xml:space="preserve">CN-BJ-02</t>
  </si>
  <si>
    <t xml:space="preserve">{ status: 200, saldo: 9990 }</t>
  </si>
  <si>
    <t xml:space="preserve">CN-BJ-03</t>
  </si>
  <si>
    <t xml:space="preserve">CN-BJ-04</t>
  </si>
  <si>
    <t xml:space="preserve">CN-BJ-05</t>
  </si>
  <si>
    <t xml:space="preserve">RN: las apuestas laterales son enteros entre 0 y 100,000</t>
  </si>
  <si>
    <t xml:space="preserve">Laterales inválidas: Perfect Pairs negativa y 21+3 mayor al máximo</t>
  </si>
  <si>
    <t xml:space="preserve">pairsBet=-5 | threeBet=100001</t>
  </si>
  <si>
    <t xml:space="preserve">CN-BJ-06</t>
  </si>
  <si>
    <t xml:space="preserve">Saldo 100 y apuesta 100: queda en 0</t>
  </si>
  <si>
    <t xml:space="preserve">{ status: 200, saldo: 0 }</t>
  </si>
  <si>
    <t xml:space="preserve">CN-BJ-07</t>
  </si>
  <si>
    <t xml:space="preserve">Tabla: saldo un peso menor no alcanza; no se crea partida</t>
  </si>
  <si>
    <t xml:space="preserve">{ status: 400, saldo: 99, partidas: 0 }</t>
  </si>
  <si>
    <t xml:space="preserve">CN-BJ-08</t>
  </si>
  <si>
    <t xml:space="preserve">Tabla: apuesta + laterales mayores al saldo → no se cobra nada</t>
  </si>
  <si>
    <t xml:space="preserve">Saldo 100, apuesta 100 + Perfect Pairs 50</t>
  </si>
  <si>
    <t xml:space="preserve">saldo=100</t>
  </si>
  <si>
    <t xml:space="preserve">{ status: 400, saldo: 100, partidas: 0 }</t>
  </si>
  <si>
    <t xml:space="preserve">CN-BJ-09</t>
  </si>
  <si>
    <t xml:space="preserve">Empezar sin token</t>
  </si>
  <si>
    <t xml:space="preserve">POST /api/blackjack/start sin Authorization</t>
  </si>
  <si>
    <t xml:space="preserve">CN-BJ-10</t>
  </si>
  <si>
    <t xml:space="preserve">Pago: Blackjack natural 3 a 2</t>
  </si>
  <si>
    <t xml:space="preserve">A♠+K♥ contra 9+7: paga 250 por 100</t>
  </si>
  <si>
    <t xml:space="preserve">jugador A+K, crupier 9+7</t>
  </si>
  <si>
    <t xml:space="preserve">{ resultado: 'blackjack', estado: 'finished', saldo: 10150 }</t>
  </si>
  <si>
    <t xml:space="preserve">CN-BJ-11</t>
  </si>
  <si>
    <t xml:space="preserve">Pago: 3 a 2 redondea hacia abajo con apuesta impar</t>
  </si>
  <si>
    <t xml:space="preserve">Blackjack con apuesta 25: paga 62 (no 62.5)</t>
  </si>
  <si>
    <t xml:space="preserve">amount=25</t>
  </si>
  <si>
    <t xml:space="preserve">{ saldo: 10037 }</t>
  </si>
  <si>
    <t xml:space="preserve">CN-BJ-12</t>
  </si>
  <si>
    <t xml:space="preserve">Tabla: ambos con blackjack → empate (se devuelve la apuesta)</t>
  </si>
  <si>
    <t xml:space="preserve">A+K contra K+A</t>
  </si>
  <si>
    <t xml:space="preserve">jugador A+K, crupier K+A</t>
  </si>
  <si>
    <t xml:space="preserve">{ resultado: 'push', saldo: 10000 }</t>
  </si>
  <si>
    <t xml:space="preserve">CN-BJ-13</t>
  </si>
  <si>
    <t xml:space="preserve">Tabla: el crupier con blackjack (sin As visible) gana de inmediato</t>
  </si>
  <si>
    <t xml:space="preserve">Jugador 7 contra K+A del crupier</t>
  </si>
  <si>
    <t xml:space="preserve">crupier K visible + A oculta</t>
  </si>
  <si>
    <t xml:space="preserve">{ resultado: 'lose', estado: 'finished', saldo: 9900 }</t>
  </si>
  <si>
    <t xml:space="preserve">CN-BJ-14</t>
  </si>
  <si>
    <t xml:space="preserve">Tabla: el jugador se pasa de 21 → pierde y el crupier ni juega</t>
  </si>
  <si>
    <t xml:space="preserve">10+6 pide K → 26</t>
  </si>
  <si>
    <t xml:space="preserve">pide una carta</t>
  </si>
  <si>
    <t xml:space="preserve">{ resultado: 'lose', saldo: 9900, cartasCrupier: 2 }</t>
  </si>
  <si>
    <t xml:space="preserve">CN-BJ-15</t>
  </si>
  <si>
    <t xml:space="preserve">Tabla: se planta con mejor mano que el crupier → gana 1 a 1</t>
  </si>
  <si>
    <t xml:space="preserve">Jugador 19 contra crupier 18</t>
  </si>
  <si>
    <t xml:space="preserve">se planta</t>
  </si>
  <si>
    <t xml:space="preserve">{ resultado: 'win', saldo: 10100 }</t>
  </si>
  <si>
    <t xml:space="preserve">CN-BJ-16</t>
  </si>
  <si>
    <t xml:space="preserve">Tabla: igual puntaje → empate, se devuelve la apuesta</t>
  </si>
  <si>
    <t xml:space="preserve">Jugador 18 contra crupier 18</t>
  </si>
  <si>
    <t xml:space="preserve">CN-BJ-17</t>
  </si>
  <si>
    <t xml:space="preserve">Tabla: peor puntaje que el crupier → pierde</t>
  </si>
  <si>
    <t xml:space="preserve">Jugador 17 contra crupier 19</t>
  </si>
  <si>
    <t xml:space="preserve">{ resultado: 'lose', saldo: 9900 }</t>
  </si>
  <si>
    <t xml:space="preserve">CN-BJ-18</t>
  </si>
  <si>
    <t xml:space="preserve">Regla: el crupier se planta en 17 duro</t>
  </si>
  <si>
    <t xml:space="preserve">Crupier 10+7=17: no pide carta</t>
  </si>
  <si>
    <t xml:space="preserve">crupier 17</t>
  </si>
  <si>
    <t xml:space="preserve">{ cartasCrupier: 2, resultado: 'win' }</t>
  </si>
  <si>
    <t xml:space="preserve">CN-BJ-19</t>
  </si>
  <si>
    <t xml:space="preserve">Regla: el crupier se planta en TODOS los 17, también el suave (A+6)</t>
  </si>
  <si>
    <t xml:space="preserve">Crupier A+6=17 suave: no pide carta</t>
  </si>
  <si>
    <t xml:space="preserve">crupier 6 visible + A oculta</t>
  </si>
  <si>
    <t xml:space="preserve">CN-BJ-20</t>
  </si>
  <si>
    <t xml:space="preserve">Regla: el crupier pide con 16 o menos</t>
  </si>
  <si>
    <t xml:space="preserve">Crupier 10+6=16 pide un 3 y queda en 19</t>
  </si>
  <si>
    <t xml:space="preserve">crupier 16</t>
  </si>
  <si>
    <t xml:space="preserve">{ cartasCrupier: 3, resultado: 'lose' }</t>
  </si>
  <si>
    <t xml:space="preserve">CN-BJ-21</t>
  </si>
  <si>
    <t xml:space="preserve">Tabla: crupier se pasa → gana el jugador</t>
  </si>
  <si>
    <t xml:space="preserve">Crupier 16 pide K y llega a 26</t>
  </si>
  <si>
    <t xml:space="preserve">crupier 16 + K</t>
  </si>
  <si>
    <t xml:space="preserve">CN-BJ-22</t>
  </si>
  <si>
    <t xml:space="preserve">Regla: doblar cobra otra apuesta igual, da 1 sola carta y paga sobre el doble</t>
  </si>
  <si>
    <t xml:space="preserve">5+6=11 dobla, recibe 10 (21) y gana contra 18</t>
  </si>
  <si>
    <t xml:space="preserve">doblar con 2 cartas</t>
  </si>
  <si>
    <t xml:space="preserve">{ resultado: 'win', apuestaFinal: 200, saldo: 10200 }</t>
  </si>
  <si>
    <t xml:space="preserve">CN-BJ-23</t>
  </si>
  <si>
    <t xml:space="preserve">Regla: solo se dobla con 2 cartas</t>
  </si>
  <si>
    <t xml:space="preserve">Con 3 cartas doblar se rechaza</t>
  </si>
  <si>
    <t xml:space="preserve">pide una carta y luego dobla</t>
  </si>
  <si>
    <t xml:space="preserve">CN-BJ-24</t>
  </si>
  <si>
    <t xml:space="preserve">Regla: dividir pares (2 manos, cada una con su apuesta)</t>
  </si>
  <si>
    <t xml:space="preserve">Par de 8: mano1 8+3=11 (pierde), mano2 8+K=18 (gana) contra crupier 17</t>
  </si>
  <si>
    <t xml:space="preserve">divide y se planta en ambas</t>
  </si>
  <si>
    <t xml:space="preserve">{ resultado: 'split', manos: 2, saldo: 10000 }</t>
  </si>
  <si>
    <t xml:space="preserve">CN-BJ-25</t>
  </si>
  <si>
    <t xml:space="preserve">Regla: solo se divide con 2 cartas del mismo valor</t>
  </si>
  <si>
    <t xml:space="preserve">Intentar dividir 8+9</t>
  </si>
  <si>
    <t xml:space="preserve">split con cartas distintas</t>
  </si>
  <si>
    <t xml:space="preserve">{ status: 400, saldo: 9900 }</t>
  </si>
  <si>
    <t xml:space="preserve">CN-BJ-26</t>
  </si>
  <si>
    <t xml:space="preserve">Regla: Ases divididos reciben 1 carta cada uno y un 21 ahí paga 1 a 1 (no 3 a 2)</t>
  </si>
  <si>
    <t xml:space="preserve">A+A: mano1 A+K=21, mano2 A+5=16, crupier 17</t>
  </si>
  <si>
    <t xml:space="preserve">divide Ases</t>
  </si>
  <si>
    <t xml:space="preserve">{ resultado: 'split', pagoMano1: 200, saldo: 10000 }</t>
  </si>
  <si>
    <t xml:space="preserve">CN-BJ-27</t>
  </si>
  <si>
    <t xml:space="preserve">Regla: rendirse devuelve la mitad</t>
  </si>
  <si>
    <t xml:space="preserve">Rendirse con 10+6 contra 10</t>
  </si>
  <si>
    <t xml:space="preserve">surrender (apuesta 100)</t>
  </si>
  <si>
    <t xml:space="preserve">{ resultado: 'surrender', saldo: 9950 }</t>
  </si>
  <si>
    <t xml:space="preserve">CN-BJ-28</t>
  </si>
  <si>
    <t xml:space="preserve">Regla: solo se puede rendir con las 2 primeras cartas</t>
  </si>
  <si>
    <t xml:space="preserve">Rendirse después de pedir carta</t>
  </si>
  <si>
    <t xml:space="preserve">hit y luego surrender</t>
  </si>
  <si>
    <t xml:space="preserve">CN-BJ-29</t>
  </si>
  <si>
    <t xml:space="preserve">Regla: con As visible se ofrece el seguro y no se puede jugar hasta decidir</t>
  </si>
  <si>
    <t xml:space="preserve">Crupier muestra A: pedir carta antes de decidir el seguro</t>
  </si>
  <si>
    <t xml:space="preserve">hit con seguro pendiente</t>
  </si>
  <si>
    <t xml:space="preserve">{ seguro: 'offered', status: 409 }</t>
  </si>
  <si>
    <t xml:space="preserve">CN-BJ-30</t>
  </si>
  <si>
    <t xml:space="preserve">Regla: el seguro cuesta la mitad y paga 2 a 1 si el crupier tiene blackjack</t>
  </si>
  <si>
    <t xml:space="preserve">Seguro tomado y el crupier tiene A+K: queda en tablas</t>
  </si>
  <si>
    <t xml:space="preserve">seguro 50 sobre apuesta 100</t>
  </si>
  <si>
    <t xml:space="preserve">{ costoSeguro: 50, pagoSeguro: 150, resultado: 'lose', saldo: 10000 }</t>
  </si>
  <si>
    <t xml:space="preserve">CN-BJ-31</t>
  </si>
  <si>
    <t xml:space="preserve">Regla: sin blackjack del crupier el seguro se pierde y la mano sigue</t>
  </si>
  <si>
    <t xml:space="preserve">Seguro tomado y el crupier tiene A+6</t>
  </si>
  <si>
    <t xml:space="preserve">seguro 50, crupier no tiene blackjack</t>
  </si>
  <si>
    <t xml:space="preserve">{ estado: 'active', saldo: 9850 }</t>
  </si>
  <si>
    <t xml:space="preserve">CN-BJ-32</t>
  </si>
  <si>
    <t xml:space="preserve">Regla: el seguro solo acepta verdadero/falso</t>
  </si>
  <si>
    <t xml:space="preserve">Valores ambiguos 1, "1" y "si" se rechazan</t>
  </si>
  <si>
    <t xml:space="preserve">take = 1 | "1" | "si"</t>
  </si>
  <si>
    <t xml:space="preserve">{ statuses: [ 200, 200, 400 ] }</t>
  </si>
  <si>
    <t xml:space="preserve">CN-BJ-33</t>
  </si>
  <si>
    <t xml:space="preserve">Regla Charlie: 5 cartas sin pasarse de 21 ganan automáticamente 1 a 1</t>
  </si>
  <si>
    <t xml:space="preserve">2+2+3+4+5 = 16 con 5 cartas</t>
  </si>
  <si>
    <t xml:space="preserve">pide 3 cartas más</t>
  </si>
  <si>
    <t xml:space="preserve">{ resultado: 'win', estado: 'finished', cartas: 5, saldo: 10100 }</t>
  </si>
  <si>
    <t xml:space="preserve">CN-BJ-34</t>
  </si>
  <si>
    <t xml:space="preserve">Regla Charlie: con 4 cartas todavía no aplica</t>
  </si>
  <si>
    <t xml:space="preserve">2+2+3+4 = 11 con 4 cartas sigue en juego</t>
  </si>
  <si>
    <t xml:space="preserve">pide 2 cartas más</t>
  </si>
  <si>
    <t xml:space="preserve">{ estado: 'active', cartas: 4 }</t>
  </si>
  <si>
    <t xml:space="preserve">CN-BJ-35</t>
  </si>
  <si>
    <t xml:space="preserve">Pago: Perfect Pairs par perfecto 25 a 1 (se paga al repartir)</t>
  </si>
  <si>
    <t xml:space="preserve">K♠ K♠ con 10 de lateral</t>
  </si>
  <si>
    <t xml:space="preserve">pairsBet=10</t>
  </si>
  <si>
    <t xml:space="preserve">{ tipo: 'perfect', saldo: 10150 }</t>
  </si>
  <si>
    <t xml:space="preserve">CN-BJ-36</t>
  </si>
  <si>
    <t xml:space="preserve">Pago: 21+3 trío del mismo palo 100 a 1</t>
  </si>
  <si>
    <t xml:space="preserve">K♠ + K♠ + K♠ visible del crupier con 10 de lateral</t>
  </si>
  <si>
    <t xml:space="preserve">threeBet=10</t>
  </si>
  <si>
    <t xml:space="preserve">{ tipo: 'suitedTrips', saldo: 10900 }</t>
  </si>
  <si>
    <t xml:space="preserve">CN-BJ-37</t>
  </si>
  <si>
    <t xml:space="preserve">RN: la carta oculta del crupier y el mazo nunca se envían mientras la mano está activa</t>
  </si>
  <si>
    <t xml:space="preserve">Respuesta de /start y de /active sin "shoe" ni la 2.ª carta del crupier</t>
  </si>
  <si>
    <t xml:space="preserve">partida activa</t>
  </si>
  <si>
    <t xml:space="preserve">{ sinMazo: true, cartaOculta: { hidden: true }, igualEnActive: true }</t>
  </si>
  <si>
    <t xml:space="preserve">CN-BJ-38</t>
  </si>
  <si>
    <t xml:space="preserve">RN: una sola partida activa por jugador (no se cobra dos veces)</t>
  </si>
  <si>
    <t xml:space="preserve">Empezar con una partida abierta devuelve la misma sin cobrar otra apuesta</t>
  </si>
  <si>
    <t xml:space="preserve">start dos veces seguidas</t>
  </si>
  <si>
    <t xml:space="preserve">{ mismaPartida: true, saldo: 9900 }</t>
  </si>
  <si>
    <t xml:space="preserve">CN-BJ-39</t>
  </si>
  <si>
    <t xml:space="preserve">Estado: partida terminada → ya no admite acciones</t>
  </si>
  <si>
    <t xml:space="preserve">Pedir carta después de un blackjack ya cerrado</t>
  </si>
  <si>
    <t xml:space="preserve">hit sobre partida finished</t>
  </si>
  <si>
    <t xml:space="preserve">{ status: 404, mensaje: 'No hay una partida activa' }</t>
  </si>
  <si>
    <t xml:space="preserve">CN-BJ-40</t>
  </si>
  <si>
    <t xml:space="preserve">Estado: una partida es privada del jugador que la abrió</t>
  </si>
  <si>
    <t xml:space="preserve">Otro jugador intenta pedir carta en mi partida</t>
  </si>
  <si>
    <t xml:space="preserve">hit con el token de otro usuario</t>
  </si>
  <si>
    <t xml:space="preserve">{ status: 404 }</t>
  </si>
  <si>
    <t xml:space="preserve">CN-BJ-41</t>
  </si>
  <si>
    <t xml:space="preserve">Estado: partida inexistente</t>
  </si>
  <si>
    <t xml:space="preserve">Id con formato correcto pero inexistente</t>
  </si>
  <si>
    <t xml:space="preserve">id de 24 hex que no existe</t>
  </si>
  <si>
    <t xml:space="preserve">CN-BJ-42</t>
  </si>
  <si>
    <t xml:space="preserve">RN: un identificador mal formado es un error del cliente (4xx), nunca un error del servidor</t>
  </si>
  <si>
    <t xml:space="preserve">Id "abc" en la URL</t>
  </si>
  <si>
    <t xml:space="preserve">POST /api/blackjack/abc/stand</t>
  </si>
  <si>
    <t xml:space="preserve">{ status: 500 }</t>
  </si>
  <si>
    <t xml:space="preserve">CN-BJ-43</t>
  </si>
  <si>
    <t xml:space="preserve">RN: una sola partida activa por jugador y una sola apuesta cobrada</t>
  </si>
  <si>
    <t xml:space="preserve">Dos "start" simultáneos: se cobra una sola apuesta y existe una sola partida</t>
  </si>
  <si>
    <t xml:space="preserve">Promise.all([start, start]) con apuesta 100</t>
  </si>
  <si>
    <t xml:space="preserve">{ partidas: 1, apuestasCobradas: 1, saldo: 9900 }</t>
  </si>
  <si>
    <t xml:space="preserve">{ partidas: 2, apuestasCobradas: 2, saldo: 9800 }</t>
  </si>
  <si>
    <t xml:space="preserve">CN-BJ-44</t>
  </si>
  <si>
    <t xml:space="preserve">RN: doblar cobra UNA apuesta extra, una sola vez</t>
  </si>
  <si>
    <t xml:space="preserve">Dos "double" simultáneos sobre la misma mano: solo se cobra un doblado</t>
  </si>
  <si>
    <t xml:space="preserve">Promise.all([double, double]) con apuesta 100</t>
  </si>
  <si>
    <t xml:space="preserve">{ cobrosPorDoblar: 1 }</t>
  </si>
  <si>
    <t xml:space="preserve">{ cobrosPorDoblar: 2 }</t>
  </si>
  <si>
    <t xml:space="preserve">CN-BJ-45</t>
  </si>
  <si>
    <t xml:space="preserve">RN: el seguro se toma una sola vez</t>
  </si>
  <si>
    <t xml:space="preserve">Dos "insurance take" simultáneos: se cobra un solo seguro</t>
  </si>
  <si>
    <t xml:space="preserve">Promise.all([insurance, insurance])</t>
  </si>
  <si>
    <t xml:space="preserve">{ cobrosPorSeguro: 1 }</t>
  </si>
  <si>
    <t xml:space="preserve">{ cobrosPorSeguro: 2 }</t>
  </si>
  <si>
    <t xml:space="preserve">CN-PLK-01</t>
  </si>
  <si>
    <t xml:space="preserve">Plinko</t>
  </si>
  <si>
    <t xml:space="preserve">RN: riesgo = low, medium o high</t>
  </si>
  <si>
    <t xml:space="preserve">Riesgo inexistente</t>
  </si>
  <si>
    <t xml:space="preserve">risk="extremo"</t>
  </si>
  <si>
    <t xml:space="preserve">CN-PLK-02</t>
  </si>
  <si>
    <t xml:space="preserve">Apuestas de 9 y de 100,001 (fuera de rango)</t>
  </si>
  <si>
    <t xml:space="preserve">amount=9 | amount=100001</t>
  </si>
  <si>
    <t xml:space="preserve">CN-PLK-03</t>
  </si>
  <si>
    <t xml:space="preserve">Apuestas de 10 y de 100,000 (límites exactos)</t>
  </si>
  <si>
    <t xml:space="preserve">amount=10 | amount=100000</t>
  </si>
  <si>
    <t xml:space="preserve">{ statuses: [ 200, 200 ] }</t>
  </si>
  <si>
    <t xml:space="preserve">CN-PLK-04</t>
  </si>
  <si>
    <t xml:space="preserve">RN: la bola cae en una de 13 casillas (0 a 12); todo a la izquierda es la casilla 0</t>
  </si>
  <si>
    <t xml:space="preserve">Todo a la izquierda en riesgo bajo: casilla 0, paga ×5.6</t>
  </si>
  <si>
    <t xml:space="preserve">12 pasos a la izquierda, apuesta 100</t>
  </si>
  <si>
    <t xml:space="preserve">{ casilla: 0, multiplicador: 5.6, premio: 560, saldo: 10460 }</t>
  </si>
  <si>
    <t xml:space="preserve">CN-PLK-05</t>
  </si>
  <si>
    <t xml:space="preserve">RN: la tabla es simétrica (izquierda y derecha pagan igual)</t>
  </si>
  <si>
    <t xml:space="preserve">Todo a la derecha en riesgo bajo: casilla 12, mismo premio que la 0</t>
  </si>
  <si>
    <t xml:space="preserve">12 pasos a la derecha, apuesta 100</t>
  </si>
  <si>
    <t xml:space="preserve">{ casilla: 12, multiplicador: 5.6, premio: 560 }</t>
  </si>
  <si>
    <t xml:space="preserve">CN-PLK-06</t>
  </si>
  <si>
    <t xml:space="preserve">RN: el centro es lo más probable y paga menos</t>
  </si>
  <si>
    <t xml:space="preserve">Casilla central (6) en riesgo bajo paga ×0.6 (pierde parte de la apuesta)</t>
  </si>
  <si>
    <t xml:space="preserve">6 derechas y 6 izquierdas, apuesta 100</t>
  </si>
  <si>
    <t xml:space="preserve">{ casilla: 6, multiplicador: 0.6, premio: 60, saldo: 9960 }</t>
  </si>
  <si>
    <t xml:space="preserve">CN-PLK-07</t>
  </si>
  <si>
    <t xml:space="preserve">RN: más riesgo = premios extremos más altos</t>
  </si>
  <si>
    <t xml:space="preserve">Riesgo alto, caída en el borde: ×250</t>
  </si>
  <si>
    <t xml:space="preserve">high, todo a la izquierda, apuesta 100</t>
  </si>
  <si>
    <t xml:space="preserve">{ multiplicador: 250, premio: 25000 }</t>
  </si>
  <si>
    <t xml:space="preserve">CN-PLK-08</t>
  </si>
  <si>
    <t xml:space="preserve">Tabla: saldo menor que la apuesta → rechaza</t>
  </si>
  <si>
    <t xml:space="preserve">Saldo 50 y apuesta 100</t>
  </si>
  <si>
    <t xml:space="preserve">saldo=50</t>
  </si>
  <si>
    <t xml:space="preserve">{ status: 400, saldo: 50 }</t>
  </si>
  <si>
    <t xml:space="preserve">CN-PLK-09</t>
  </si>
  <si>
    <t xml:space="preserve">RN: /config publica 12 filas y las 3 tablas de 13 premios</t>
  </si>
  <si>
    <t xml:space="preserve">Configuración visible para el cliente</t>
  </si>
  <si>
    <t xml:space="preserve">GET /api/plinko/config</t>
  </si>
  <si>
    <t xml:space="preserve">{ filas: 12, tablas: { low: 13, medium: 13, high: 13 } }</t>
  </si>
  <si>
    <t xml:space="preserve">CN-PLK-10</t>
  </si>
  <si>
    <t xml:space="preserve">Soltar bola sin token</t>
  </si>
  <si>
    <t xml:space="preserve">POST /api/plinko/drop sin Authorization</t>
  </si>
  <si>
    <t xml:space="preserve">CN-GEN-06</t>
  </si>
  <si>
    <t xml:space="preserve">RN: máximo 600 peticiones por IP cada 15 minutos</t>
  </si>
  <si>
    <t xml:space="preserve">La petición 600 pasa y la 601 es bloqueada con 429</t>
  </si>
  <si>
    <t xml:space="preserve">601 llamadas seguidas a GET /api/health</t>
  </si>
  <si>
    <t xml:space="preserve">{ primeras600: 200, la601: 429 }</t>
  </si>
  <si>
    <t xml:space="preserve">V(G)</t>
  </si>
  <si>
    <t xml:space="preserve">Criterio de cobertura</t>
  </si>
  <si>
    <t xml:space="preserve">Qué se debe cubrir</t>
  </si>
  <si>
    <t xml:space="preserve">Mínimo teórico de casos</t>
  </si>
  <si>
    <t xml:space="preserve">Casos que lo cubren</t>
  </si>
  <si>
    <t xml:space="preserve">Casos usados</t>
  </si>
  <si>
    <t xml:space="preserve">Nota</t>
  </si>
  <si>
    <t xml:space="preserve">Sentencia</t>
  </si>
  <si>
    <t xml:space="preserve">Ejecutar N1…N6</t>
  </si>
  <si>
    <t xml:space="preserve">CB-RNG-01, CB-RNG-02, CB-RNG-03</t>
  </si>
  <si>
    <t xml:space="preserve">N4 (gana), N5 (resta) y N6 (failsafe) exigen 3 casos distintos</t>
  </si>
  <si>
    <t xml:space="preserve">Decisión</t>
  </si>
  <si>
    <t xml:space="preserve">for: Sí/No · if: True/False</t>
  </si>
  <si>
    <t xml:space="preserve">for=No solo ocurre agotando la lista (r=100)</t>
  </si>
  <si>
    <t xml:space="preserve">Condición simple</t>
  </si>
  <si>
    <t xml:space="preserve">Cada condición V y F (son las mismas de las decisiones)</t>
  </si>
  <si>
    <t xml:space="preserve">No hay condiciones compuestas</t>
  </si>
  <si>
    <t xml:space="preserve">Condición múltiple</t>
  </si>
  <si>
    <t xml:space="preserve">No aplica (no hay &amp;&amp; ni ||)</t>
  </si>
  <si>
    <t xml:space="preserve">Equivale a decisión</t>
  </si>
  <si>
    <t xml:space="preserve">Caminos</t>
  </si>
  <si>
    <t xml:space="preserve">V(G)=3 caminos independientes + ciclo con 0 iteraciones</t>
  </si>
  <si>
    <t xml:space="preserve">CB-RNG-01, CB-RNG-02, CB-RNG-03, CB-RNG-04</t>
  </si>
  <si>
    <t xml:space="preserve">Se agrega CB-RNG-04 por la prueba de ciclo con 0 iteraciones</t>
  </si>
  <si>
    <t xml:space="preserve">Ejecutar los 4 return</t>
  </si>
  <si>
    <t xml:space="preserve">CB-VIP-01, CB-VIP-04, CB-VIP-07, CB-VIP-10</t>
  </si>
  <si>
    <t xml:space="preserve">Uno por nivel</t>
  </si>
  <si>
    <t xml:space="preserve">3 decisiones × (V, F)</t>
  </si>
  <si>
    <t xml:space="preserve">Los 4 caminos cubren las 6 salidas</t>
  </si>
  <si>
    <t xml:space="preserve">Igual que decisión (1 condición por if)</t>
  </si>
  <si>
    <t xml:space="preserve">No aplica</t>
  </si>
  <si>
    <t xml:space="preserve">V(G)=4 caminos independientes</t>
  </si>
  <si>
    <t xml:space="preserve">Se agregan 6 casos de valor límite (50000/49999, 20000/19999, 5000/4999) para detectar &gt; en vez de &gt;=</t>
  </si>
  <si>
    <t xml:space="preserve">Ejecutar N1…N9</t>
  </si>
  <si>
    <t xml:space="preserve">Una mano con As que se pasa recorre todas las sentencias</t>
  </si>
  <si>
    <t xml:space="preserve">for, if, while: V y F</t>
  </si>
  <si>
    <t xml:space="preserve">CB-HS-04, CB-HS-02</t>
  </si>
  <si>
    <t xml:space="preserve">if=F lo da cualquier carta no As (la 6 o la 9 en CB-HS-04)</t>
  </si>
  <si>
    <t xml:space="preserve">A (total&gt;21) y B (aces&gt;0) cada una V y F</t>
  </si>
  <si>
    <t xml:space="preserve">CB-HS-04, CB-HS-05</t>
  </si>
  <si>
    <t xml:space="preserve">B=F con A=V solo ocurre sin Ases y pasándose</t>
  </si>
  <si>
    <t xml:space="preserve">A&amp;&amp;B: VV, VF, FV, FF</t>
  </si>
  <si>
    <t xml:space="preserve">CB-HS-04, CB-HS-05, CB-HS-03, CB-HS-02</t>
  </si>
  <si>
    <t xml:space="preserve">Con cortocircuito la evaluación real tiene 3 salidas (VV, VF, F-)</t>
  </si>
  <si>
    <t xml:space="preserve">V(G)=5 independientes + ciclo while 0/1/2/n</t>
  </si>
  <si>
    <t xml:space="preserve">CB-HS-01, CB-HS-02, CB-HS-03, CB-HS-04, CB-HS-05</t>
  </si>
  <si>
    <t xml:space="preserve">Más CB-HS-06/07/11 para ciclo con 1, 2 y 4 vueltas</t>
  </si>
  <si>
    <t xml:space="preserve">Ejecutar la expresión (1 sentencia)</t>
  </si>
  <si>
    <t xml:space="preserve">Resultado true y false</t>
  </si>
  <si>
    <t xml:space="preserve">CB-SP-06, CB-SP-01</t>
  </si>
  <si>
    <t xml:space="preserve">C1…C5 cada una V y F</t>
  </si>
  <si>
    <t xml:space="preserve">CB-SP-06, CB-SP-01, CB-SP-02, CB-SP-03, CB-SP-04, CB-SP-05</t>
  </si>
  <si>
    <t xml:space="preserve">Una verdadera para todas + una falsa por condición</t>
  </si>
  <si>
    <t xml:space="preserve">Combinaciones alcanzables con cortocircuito (2⁵=32 teóricas)</t>
  </si>
  <si>
    <t xml:space="preserve">Con &amp;&amp; solo 6 combinaciones son distinguibles (equivale a MC/DC: n+1)</t>
  </si>
  <si>
    <t xml:space="preserve">V(G)=5 caminos independientes</t>
  </si>
  <si>
    <t xml:space="preserve">CB-SP-06, CB-SP-01, CB-SP-02, CB-SP-03, CB-SP-04</t>
  </si>
  <si>
    <t xml:space="preserve">CB-SP-05 (C5 falsa) recorre el mismo camino del grafo que CB-SP-06 pero con otro valor; CB-SP-07/08/09 son valores equivalentes y límites</t>
  </si>
  <si>
    <t xml:space="preserve">Ejecutar cada return</t>
  </si>
  <si>
    <t xml:space="preserve">CB-BD-01, CB-BD-03, CB-BD-06, CB-BD-09, CB-BD-13, CB-BD-15, CB-BD-18</t>
  </si>
  <si>
    <t xml:space="preserve">Un return por case + default + el de "Punto se plantó"</t>
  </si>
  <si>
    <t xml:space="preserve">if y cada case V/F (total 0..7)</t>
  </si>
  <si>
    <t xml:space="preserve">CB-BD-01, CB-BD-03, CB-BD-04, CB-BD-05, CB-BD-06, CB-BD-08, CB-BD-09, CB-BD-12, CB-BD-13, CB-BD-15, CB-BD-16, CB-BD-18</t>
  </si>
  <si>
    <t xml:space="preserve">p&gt;=2, p&lt;=7, p&gt;=4, p&lt;=7, p===6, p===7 cada una V y F</t>
  </si>
  <si>
    <t xml:space="preserve">CB-BD-08, CB-BD-09, CB-BD-10, CB-BD-12, CB-BD-13, CB-BD-14, CB-BD-15, CB-BD-16, CB-BD-17</t>
  </si>
  <si>
    <t xml:space="preserve">Combinaciones de cada &amp;&amp; / ||</t>
  </si>
  <si>
    <t xml:space="preserve">p&gt;=2&amp;&amp;p&lt;=7 y p&gt;=4&amp;&amp;p&lt;=7: VV,VF,FV(no alcanzable con p entero real en FF); p===6||p===7: V-,FV,FF</t>
  </si>
  <si>
    <t xml:space="preserve">V(G)=12</t>
  </si>
  <si>
    <t xml:space="preserve">Se ejecutan 18 casos</t>
  </si>
  <si>
    <t xml:space="preserve">Ejecutar todas las sentencias del callback</t>
  </si>
  <si>
    <t xml:space="preserve">CB-RL-03, CB-RL-05, CB-RL-02</t>
  </si>
  <si>
    <t xml:space="preserve">bono caliente, La Partage y pago normal</t>
  </si>
  <si>
    <t xml:space="preserve">won, ternario, else-if: V y F</t>
  </si>
  <si>
    <t xml:space="preserve">CB-RL-02, CB-RL-03, CB-RL-05, CB-RL-06</t>
  </si>
  <si>
    <t xml:space="preserve">A, B, C, D cada una V y F</t>
  </si>
  <si>
    <t xml:space="preserve">CB-RL-02, CB-RL-03, CB-RL-04, CB-RL-05, CB-RL-07, CB-RL-06</t>
  </si>
  <si>
    <t xml:space="preserve">B=F con lista no vacía en CB-RL-04</t>
  </si>
  <si>
    <t xml:space="preserve">A&amp;&amp;B y C&amp;&amp;D</t>
  </si>
  <si>
    <t xml:space="preserve">CB-RL-02, CB-RL-03, CB-RL-11, CB-RL-05, CB-RL-07, CB-RL-06</t>
  </si>
  <si>
    <t xml:space="preserve">A&amp;&amp;B: VV, VF, F-; C&amp;&amp;D: VV, VF, F-</t>
  </si>
  <si>
    <t xml:space="preserve">V(G)=6 + ciclo map con 0/1/n</t>
  </si>
  <si>
    <t xml:space="preserve">CB-RL-01, CB-RL-02, CB-RL-03, CB-RL-05, CB-RL-06, CB-RL-07</t>
  </si>
  <si>
    <t xml:space="preserve">CB-RL-13 recorre el map con 3 iteraciones</t>
  </si>
  <si>
    <t xml:space="preserve">Líneas</t>
  </si>
  <si>
    <t xml:space="preserve">Sentencias totales</t>
  </si>
  <si>
    <t xml:space="preserve">Sentencias cubiertas</t>
  </si>
  <si>
    <t xml:space="preserve">% sentencias</t>
  </si>
  <si>
    <t xml:space="preserve">Ramas totales</t>
  </si>
  <si>
    <t xml:space="preserve">Ramas cubiertas</t>
  </si>
  <si>
    <t xml:space="preserve">% ramas</t>
  </si>
  <si>
    <t xml:space="preserve">5-13</t>
  </si>
  <si>
    <t xml:space="preserve">1-6</t>
  </si>
  <si>
    <t xml:space="preserve">3-7, 10-22</t>
  </si>
  <si>
    <t xml:space="preserve">58-63</t>
  </si>
  <si>
    <t xml:space="preserve">bankerDraws (+ points)</t>
  </si>
  <si>
    <t xml:space="preserve">6-10, 18-31</t>
  </si>
  <si>
    <t xml:space="preserve">15-32, 55-75</t>
  </si>
  <si>
    <t xml:space="preserve">TOTAL</t>
  </si>
  <si>
    <t xml:space="preserve">Fuente: node --test --experimental-test-coverage (V8) filtrado por las líneas de cada función. Evidencia: evidencias/cobertura/</t>
  </si>
  <si>
    <t xml:space="preserve">Nodos (N)</t>
  </si>
  <si>
    <t xml:space="preserve">Aristas (E)</t>
  </si>
  <si>
    <t xml:space="preserve">V(G) = E − N + 2</t>
  </si>
  <si>
    <t xml:space="preserve">V(G) medido con ESLint (regla complexity)</t>
  </si>
  <si>
    <t xml:space="preserve">¿Coincide?</t>
  </si>
  <si>
    <t xml:space="preserve">ID</t>
  </si>
  <si>
    <t xml:space="preserve">Severidad</t>
  </si>
  <si>
    <t xml:space="preserve">Descripción del defecto</t>
  </si>
  <si>
    <t xml:space="preserve">Casos que lo detectaron</t>
  </si>
  <si>
    <t xml:space="preserve">Técnica</t>
  </si>
  <si>
    <t xml:space="preserve">Resultado obtenido (Ciclo 1)</t>
  </si>
  <si>
    <t xml:space="preserve">Corrección aplicada</t>
  </si>
  <si>
    <t xml:space="preserve">Estado</t>
  </si>
  <si>
    <t xml:space="preserve">DEF-01</t>
  </si>
  <si>
    <t xml:space="preserve">Alta</t>
  </si>
  <si>
    <t xml:space="preserve">Una selección vacía o nula (null, "", [], false) en un pleno se interpreta como el número 0: la apuesta se acepta y puede pagar 35:1 sin que el jugador eligiera número.</t>
  </si>
  <si>
    <t xml:space="preserve">CN-RL-14, CN-RLR-05</t>
  </si>
  <si>
    <t xml:space="preserve">TD / EP</t>
  </si>
  <si>
    <t xml:space="preserve">Respuesta 200 y saldo cambia en las 4 entradas</t>
  </si>
  <si>
    <t xml:space="preserve">Debe rechazar con 400 y no tocar el saldo</t>
  </si>
  <si>
    <t xml:space="preserve">Se agregó parseIntSelection (src/services/rouletteService.js) y se usa en rouletteRoutes.js y normalizeBet</t>
  </si>
  <si>
    <t xml:space="preserve">CORREGIDO</t>
  </si>
  <si>
    <t xml:space="preserve">DEF-02</t>
  </si>
  <si>
    <t xml:space="preserve">Media</t>
  </si>
  <si>
    <t xml:space="preserve">Cuentas</t>
  </si>
  <si>
    <t xml:space="preserve">Login con contraseña que no es texto (objeto, número, lista) provoca error 500 del servidor en lugar de 400.</t>
  </si>
  <si>
    <t xml:space="preserve">Estados [500, 500, 500]</t>
  </si>
  <si>
    <t xml:space="preserve">Estados [400, 400, 400]</t>
  </si>
  <si>
    <t xml:space="preserve">isString().bail() en las validaciones de authRoutes.js (registro y login) y manejo de CastError/ValidationError en middleware/error.js</t>
  </si>
  <si>
    <t xml:space="preserve">DEF-03</t>
  </si>
  <si>
    <t xml:space="preserve">Baja</t>
  </si>
  <si>
    <t xml:space="preserve">El seguro acepta take=1 y take="1" como verdadero (solo debería aceptar true/false).</t>
  </si>
  <si>
    <t xml:space="preserve">EP / VL</t>
  </si>
  <si>
    <t xml:space="preserve">Estados [200, 200, 400]</t>
  </si>
  <si>
    <t xml:space="preserve">Validador isIn(['true','false']) en blackjackRoutes.js</t>
  </si>
  <si>
    <t xml:space="preserve">DEF-04</t>
  </si>
  <si>
    <t xml:space="preserve">Un identificador de partida mal formado ("abc") en la URL produce error 500 (CastError de Mongoose) en lugar de 400.</t>
  </si>
  <si>
    <t xml:space="preserve">Estado 500</t>
  </si>
  <si>
    <t xml:space="preserve">Estado 400 "Identificador de partida inválido"</t>
  </si>
  <si>
    <t xml:space="preserve">router.param('id') valida 24 caracteres hexadecimales; error.js traduce CastError a 400</t>
  </si>
  <si>
    <t xml:space="preserve">DEF-05</t>
  </si>
  <si>
    <t xml:space="preserve">Crítica</t>
  </si>
  <si>
    <t xml:space="preserve">Condición de carrera: dos peticiones simultáneas del mismo jugador se ejecutan a la vez. Se cobran dos apuestas y se crean dos partidas (start), se cobra dos veces el doblado (double) y dos veces el seguro (insurance).</t>
  </si>
  <si>
    <t xml:space="preserve">CN-BJ-43, CN-BJ-44, CN-BJ-45</t>
  </si>
  <si>
    <t xml:space="preserve">ES (escenario concurrente)</t>
  </si>
  <si>
    <t xml:space="preserve">2 partidas, 2 apuestas, saldo 9800; 2 cobros de doblado; 2 cobros de seguro</t>
  </si>
  <si>
    <t xml:space="preserve">1 partida, 1 apuesta, saldo 9900; 1 cobro; 1 cobro</t>
  </si>
  <si>
    <t xml:space="preserve">Se creó utils/mutex.js (exclusivo) y blackjackController.js serializa cada acción por jugador. Limitación: solo protege una instancia del servidor</t>
  </si>
  <si>
    <t xml:space="preserve">ID mutante</t>
  </si>
  <si>
    <t xml:space="preserve">Cambio introducido a propósito</t>
  </si>
  <si>
    <t xml:space="preserve">Ronda 1 (antes de agregar CB-RNG-08): estado y quién lo detectó</t>
  </si>
  <si>
    <t xml:space="preserve">Ronda final</t>
  </si>
  <si>
    <t xml:space="preserve">Detectado por</t>
  </si>
  <si>
    <t xml:space="preserve">M01</t>
  </si>
  <si>
    <t xml:space="preserve">Cambiar &lt; por &lt;= en la comparación del peso</t>
  </si>
  <si>
    <t xml:space="preserve">MUERTO (caja blanca)</t>
  </si>
  <si>
    <t xml:space="preserve">MUERTO</t>
  </si>
  <si>
    <t xml:space="preserve">caja blanca</t>
  </si>
  <si>
    <t xml:space="preserve">M02</t>
  </si>
  <si>
    <t xml:space="preserve">Sumar en vez de restar el peso</t>
  </si>
  <si>
    <t xml:space="preserve">MUERTO (caja negra)</t>
  </si>
  <si>
    <t xml:space="preserve">M03</t>
  </si>
  <si>
    <t xml:space="preserve">Retorno de seguridad devuelve el primer ítem</t>
  </si>
  <si>
    <t xml:space="preserve">M04</t>
  </si>
  <si>
    <t xml:space="preserve">Límite de VIP: &gt;= pasa a &gt;</t>
  </si>
  <si>
    <t xml:space="preserve">M05</t>
  </si>
  <si>
    <t xml:space="preserve">Límite de Oro: &gt;= pasa a &gt;</t>
  </si>
  <si>
    <t xml:space="preserve">M06</t>
  </si>
  <si>
    <t xml:space="preserve">Límite de Plata: &gt;= pasa a &gt;</t>
  </si>
  <si>
    <t xml:space="preserve">M07</t>
  </si>
  <si>
    <t xml:space="preserve">Nivel Oro devuelve Plata</t>
  </si>
  <si>
    <t xml:space="preserve">M08</t>
  </si>
  <si>
    <t xml:space="preserve">handScore</t>
  </si>
  <si>
    <t xml:space="preserve">Ajustar el As también cuando la mano vale exactamente 21</t>
  </si>
  <si>
    <t xml:space="preserve">M09</t>
  </si>
  <si>
    <t xml:space="preserve">El último As ya no baja a 1</t>
  </si>
  <si>
    <t xml:space="preserve">M10</t>
  </si>
  <si>
    <t xml:space="preserve">Al bajar un As se resta 9 en vez de 10</t>
  </si>
  <si>
    <t xml:space="preserve">M11</t>
  </si>
  <si>
    <t xml:space="preserve">No se cuentan los Ases</t>
  </si>
  <si>
    <t xml:space="preserve">M12</t>
  </si>
  <si>
    <t xml:space="preserve">cardValue</t>
  </si>
  <si>
    <t xml:space="preserve">El As vale 10 en vez de 11</t>
  </si>
  <si>
    <t xml:space="preserve">M13</t>
  </si>
  <si>
    <t xml:space="preserve">Permite dividir con 2 o más cartas</t>
  </si>
  <si>
    <t xml:space="preserve">M14</t>
  </si>
  <si>
    <t xml:space="preserve">Permite una 5.ª mano (&lt; pasa a &lt;=)</t>
  </si>
  <si>
    <t xml:space="preserve">M15</t>
  </si>
  <si>
    <t xml:space="preserve">Cambio equivalente (mutante equivalente: debe sobrevivir)</t>
  </si>
  <si>
    <t xml:space="preserve">SOBREVIVIÓ (—)</t>
  </si>
  <si>
    <t xml:space="preserve">SOBREVIVIÓ</t>
  </si>
  <si>
    <t xml:space="preserve">—</t>
  </si>
  <si>
    <t xml:space="preserve">M16</t>
  </si>
  <si>
    <t xml:space="preserve">Exige misma figura (K y Q ya no se pueden dividir)</t>
  </si>
  <si>
    <t xml:space="preserve">M17</t>
  </si>
  <si>
    <t xml:space="preserve">Banca 5 ya no pide cuando el Punto se plantó</t>
  </si>
  <si>
    <t xml:space="preserve">M18</t>
  </si>
  <si>
    <t xml:space="preserve">Banca 3: excepción con 7 en vez de 8</t>
  </si>
  <si>
    <t xml:space="preserve">M19</t>
  </si>
  <si>
    <t xml:space="preserve">Banca 4: &amp;&amp; cambia a ||</t>
  </si>
  <si>
    <t xml:space="preserve">M20</t>
  </si>
  <si>
    <t xml:space="preserve">Banca 5: límite inferior 4 pasa a 5</t>
  </si>
  <si>
    <t xml:space="preserve">M21</t>
  </si>
  <si>
    <t xml:space="preserve">Banca 6: || cambia a &amp;&amp;</t>
  </si>
  <si>
    <t xml:space="preserve">M22</t>
  </si>
  <si>
    <t xml:space="preserve">settleBets</t>
  </si>
  <si>
    <t xml:space="preserve">Número caliente: &amp;&amp; cambia a ||</t>
  </si>
  <si>
    <t xml:space="preserve">M23</t>
  </si>
  <si>
    <t xml:space="preserve">La Partage: &amp;&amp; cambia a ||</t>
  </si>
  <si>
    <t xml:space="preserve">M24</t>
  </si>
  <si>
    <t xml:space="preserve">Bono caliente ×2 en vez de ×1.5</t>
  </si>
  <si>
    <t xml:space="preserve">M25</t>
  </si>
  <si>
    <t xml:space="preserve">La Partage devuelve un tercio</t>
  </si>
  <si>
    <t xml:space="preserve">M26</t>
  </si>
  <si>
    <t xml:space="preserve">matches</t>
  </si>
  <si>
    <t xml:space="preserve">Falta: el 18 deja de pertenecer a "low"</t>
  </si>
  <si>
    <t xml:space="preserve">M27</t>
  </si>
  <si>
    <t xml:space="preserve">Docenas calculadas con floor</t>
  </si>
  <si>
    <t xml:space="preserve">M28</t>
  </si>
  <si>
    <t xml:space="preserve">Pleno paga 35× total (el error real que se corrigió antes)</t>
  </si>
  <si>
    <t xml:space="preserve">Total mutantes</t>
  </si>
  <si>
    <t xml:space="preserve">Detectados (MUERTO)</t>
  </si>
  <si>
    <t xml:space="preserve">Sobrevivieron</t>
  </si>
  <si>
    <t xml:space="preserve">M15 es un mutante equivalente a propósito (!x vs x!==true cuando x es booleano): debe sobrevivir. M02 no fue detectado por la caja blanca en la ronda 1 (solo lo mató la caja negra), por eso se agregó el caso CB-RNG-08.</t>
  </si>
  <si>
    <t xml:space="preserve">Regla de negocio</t>
  </si>
  <si>
    <t xml:space="preserve">Casos que la verifican</t>
  </si>
  <si>
    <t xml:space="preserve">N.º de casos</t>
  </si>
  <si>
    <t xml:space="preserve">CN-BAC-02, CN-BAC-03</t>
  </si>
  <si>
    <t xml:space="preserve">CN-BAC-18, CN-BAC-19</t>
  </si>
  <si>
    <t xml:space="preserve">CN-BAC-16, CN-BAC-17</t>
  </si>
  <si>
    <t xml:space="preserve">CN-BCR-03, CN-BCR-04, CN-BCR-05, CN-BCR-06, CN-BCR-07, CN-BCR-08, CN-BCR-09, CN-BCR-10</t>
  </si>
  <si>
    <t xml:space="preserve">CN-WAL-01, CN-WAL-02, CN-WAL-03, CN-WAL-04</t>
  </si>
  <si>
    <t xml:space="preserve">CN-BJ-01, CN-BJ-02, CN-BJ-03, CN-BJ-04</t>
  </si>
  <si>
    <t xml:space="preserve">CN-BJR-08, CN-BJR-09, CN-BJR-10, CN-BJR-11</t>
  </si>
  <si>
    <t xml:space="preserve">CN-BJR-01, CN-BJR-02, CN-BJR-03, CN-BJR-04, CN-BJR-05, CN-BJR-06, CN-BJR-07</t>
  </si>
  <si>
    <t xml:space="preserve">CN-AUTH-08, CN-AUTH-09</t>
  </si>
  <si>
    <t xml:space="preserve">CN-AUTH-10, CN-AUTH-19</t>
  </si>
  <si>
    <t xml:space="preserve">CN-AUTH-02, CN-AUTH-03, CN-AUTH-04, CN-AUTH-05</t>
  </si>
  <si>
    <t xml:space="preserve">CN-VIP-01, CN-VIP-02, CN-VIP-03, CN-VIP-04, CN-VIP-05, CN-VIP-06</t>
  </si>
  <si>
    <t xml:space="preserve">CN-PLK-02, CN-PLK-03</t>
  </si>
  <si>
    <t xml:space="preserve">CN-RL-05, CN-RL-06, CN-RL-07, CN-RL-08</t>
  </si>
  <si>
    <t xml:space="preserve">CN-RL-01, CN-RL-02, CN-RL-03, CN-RL-04</t>
  </si>
  <si>
    <t xml:space="preserve">CN-SLT-01, CN-SLT-02, CN-SLT-03, CN-SLT-04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</si>
</sst>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  <fill>
      <patternFill patternType="solid">
        <fgColor rgb="FFF8CBAD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COUNTA('Casos caja blanca'!A2:A200)</f>
        <v>72</v>
      </c>
      <c r="C5" s="5" t="n">
        <f aca="false">COUNTA('Casos caja negra'!A2:A400)</f>
        <v>232</v>
      </c>
      <c r="D5" s="5" t="n">
        <f aca="false">B5+C5</f>
        <v>304</v>
      </c>
    </row>
    <row r="6" customFormat="false" ht="15" hidden="false" customHeight="false" outlineLevel="0" collapsed="false">
      <c r="A6" s="4" t="s">
        <v>7</v>
      </c>
      <c r="B6" s="5" t="n">
        <f aca="false">COUNTIF('Casos caja blanca'!K2:K200,"PASÓ")</f>
        <v>72</v>
      </c>
      <c r="C6" s="5" t="n">
        <f aca="false">COUNTIF('Casos caja negra'!I2:I400,"PASÓ")</f>
        <v>224</v>
      </c>
      <c r="D6" s="5" t="n">
        <f aca="false">B6+C6</f>
        <v>296</v>
      </c>
    </row>
    <row r="7" customFormat="false" ht="15" hidden="false" customHeight="false" outlineLevel="0" collapsed="false">
      <c r="A7" s="4" t="s">
        <v>8</v>
      </c>
      <c r="B7" s="5" t="n">
        <f aca="false">COUNTIF('Casos caja blanca'!K2:K200,"FALLÓ")</f>
        <v>0</v>
      </c>
      <c r="C7" s="5" t="n">
        <f aca="false">COUNTIF('Casos caja negra'!I2:I400,"FALLÓ")</f>
        <v>8</v>
      </c>
      <c r="D7" s="5" t="n">
        <f aca="false">B7+C7</f>
        <v>8</v>
      </c>
    </row>
    <row r="8" customFormat="false" ht="15" hidden="false" customHeight="false" outlineLevel="0" collapsed="false">
      <c r="A8" s="4" t="s">
        <v>9</v>
      </c>
      <c r="B8" s="6" t="n">
        <f aca="false">B6/B5</f>
        <v>1</v>
      </c>
      <c r="C8" s="6" t="n">
        <f aca="false">C6/C5</f>
        <v>0.96551724137931</v>
      </c>
      <c r="D8" s="6" t="n">
        <f aca="false">D6/D5</f>
        <v>0.973684210526316</v>
      </c>
    </row>
    <row r="9" customFormat="false" ht="15" hidden="false" customHeight="false" outlineLevel="0" collapsed="false">
      <c r="A9" s="4" t="s">
        <v>10</v>
      </c>
      <c r="B9" s="5" t="n">
        <f aca="false">COUNTIF('Casos caja blanca'!M2:M200,"PASÓ")</f>
        <v>72</v>
      </c>
      <c r="C9" s="5" t="n">
        <f aca="false">COUNTIF('Casos caja negra'!K2:K400,"PASÓ")</f>
        <v>232</v>
      </c>
      <c r="D9" s="5" t="n">
        <f aca="false">B9+C9</f>
        <v>304</v>
      </c>
    </row>
    <row r="10" customFormat="false" ht="15" hidden="false" customHeight="false" outlineLevel="0" collapsed="false">
      <c r="A10" s="4" t="s">
        <v>11</v>
      </c>
      <c r="B10" s="5" t="n">
        <f aca="false">COUNTIF('Casos caja blanca'!M2:M200,"FALLÓ")</f>
        <v>0</v>
      </c>
      <c r="C10" s="5" t="n">
        <f aca="false">COUNTIF('Casos caja negra'!K2:K400,"FALLÓ")</f>
        <v>0</v>
      </c>
      <c r="D10" s="5" t="n">
        <f aca="false">B10+C10</f>
        <v>0</v>
      </c>
    </row>
    <row r="11" customFormat="false" ht="15" hidden="false" customHeight="false" outlineLevel="0" collapsed="false">
      <c r="A11" s="4" t="s">
        <v>12</v>
      </c>
      <c r="B11" s="6" t="n">
        <f aca="false">B9/B5</f>
        <v>1</v>
      </c>
      <c r="C11" s="6" t="n">
        <f aca="false">C9/C5</f>
        <v>1</v>
      </c>
      <c r="D11" s="6" t="n">
        <f aca="false">D9/D5</f>
        <v>1</v>
      </c>
    </row>
    <row r="12" customFormat="false" ht="15" hidden="false" customHeight="false" outlineLevel="0" collapsed="false">
      <c r="A12" s="4" t="s">
        <v>13</v>
      </c>
      <c r="B12" s="5" t="str">
        <f aca="false">IF(B11&gt;=0.9,"CUMPLE","NO CUMPLE")</f>
        <v>CUMPLE</v>
      </c>
      <c r="C12" s="5" t="str">
        <f aca="false">IF(C11&gt;=0.9,"CUMPLE","NO CUMPLE")</f>
        <v>CUMPLE</v>
      </c>
      <c r="D12" s="5" t="str">
        <f aca="false">IF(D11&gt;=0.9,"CUMPLE","NO CUMPLE")</f>
        <v>CUMPLE</v>
      </c>
    </row>
    <row r="14" customFormat="false" ht="15" hidden="false" customHeight="false" outlineLevel="0" collapsed="false">
      <c r="A14" s="7" t="s">
        <v>14</v>
      </c>
    </row>
    <row r="15" customFormat="false" ht="15" hidden="false" customHeight="false" outlineLevel="0" collapsed="false">
      <c r="A15" s="8" t="s">
        <v>15</v>
      </c>
      <c r="B15" s="9" t="n">
        <f aca="false">COUNTA(Defectos!A2:A6)</f>
        <v>5</v>
      </c>
    </row>
    <row r="16" customFormat="false" ht="15" hidden="false" customHeight="false" outlineLevel="0" collapsed="false">
      <c r="A16" s="8" t="s">
        <v>16</v>
      </c>
      <c r="B16" s="9" t="n">
        <f aca="false">COUNTIF(Defectos!J2:J6,"CORREGIDO")</f>
        <v>5</v>
      </c>
    </row>
    <row r="17" customFormat="false" ht="15" hidden="false" customHeight="false" outlineLevel="0" collapsed="false">
      <c r="A17" s="8" t="s">
        <v>17</v>
      </c>
      <c r="B17" s="10" t="n">
        <f aca="false">Mutación!B34</f>
        <v>0.964285714285714</v>
      </c>
    </row>
    <row r="18" customFormat="false" ht="15" hidden="false" customHeight="false" outlineLevel="0" collapsed="false">
      <c r="A18" s="8" t="s">
        <v>18</v>
      </c>
      <c r="B18" s="11" t="n">
        <f aca="false">'Cobertura medida'!F8</f>
        <v>1</v>
      </c>
    </row>
    <row r="19" customFormat="false" ht="15" hidden="false" customHeight="false" outlineLevel="0" collapsed="false">
      <c r="A19" s="8" t="s">
        <v>19</v>
      </c>
      <c r="B19" s="11" t="n">
        <f aca="false">'Cobertura medida'!I8</f>
        <v>1</v>
      </c>
    </row>
    <row r="21" customFormat="false" ht="15" hidden="false" customHeight="false" outlineLevel="0" collapsed="false">
      <c r="A21" s="2" t="s">
        <v>20</v>
      </c>
    </row>
    <row r="22" customFormat="false" ht="15" hidden="false" customHeight="false" outlineLevel="0" collapsed="false">
      <c r="A22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52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10"/>
    <col collapsed="false" customWidth="true" hidden="false" outlineLevel="0" max="12" min="12" style="0" width="24"/>
    <col collapsed="false" customWidth="true" hidden="false" outlineLevel="0" max="13" min="13" style="0" width="10"/>
  </cols>
  <sheetData>
    <row r="1" customFormat="false" ht="57.45" hidden="false" customHeight="false" outlineLevel="0" collapsed="false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</row>
    <row r="2" customFormat="false" ht="23.85" hidden="false" customHeight="false" outlineLevel="0" collapsed="false">
      <c r="A2" s="13" t="s">
        <v>35</v>
      </c>
      <c r="B2" s="13" t="s">
        <v>36</v>
      </c>
      <c r="C2" s="13" t="s">
        <v>37</v>
      </c>
      <c r="D2" s="13" t="s">
        <v>38</v>
      </c>
      <c r="E2" s="13" t="s">
        <v>39</v>
      </c>
      <c r="F2" s="13" t="s">
        <v>40</v>
      </c>
      <c r="G2" s="13" t="s">
        <v>41</v>
      </c>
      <c r="H2" s="13" t="s">
        <v>42</v>
      </c>
      <c r="I2" s="13" t="s">
        <v>43</v>
      </c>
      <c r="J2" s="13" t="s">
        <v>43</v>
      </c>
      <c r="K2" s="14" t="s">
        <v>44</v>
      </c>
      <c r="L2" s="13" t="s">
        <v>43</v>
      </c>
      <c r="M2" s="14" t="s">
        <v>44</v>
      </c>
    </row>
    <row r="3" customFormat="false" ht="23.85" hidden="false" customHeight="false" outlineLevel="0" collapsed="false">
      <c r="A3" s="13" t="s">
        <v>45</v>
      </c>
      <c r="B3" s="13" t="s">
        <v>36</v>
      </c>
      <c r="C3" s="13" t="s">
        <v>37</v>
      </c>
      <c r="D3" s="13" t="s">
        <v>46</v>
      </c>
      <c r="E3" s="13" t="s">
        <v>47</v>
      </c>
      <c r="F3" s="13" t="s">
        <v>48</v>
      </c>
      <c r="G3" s="13" t="s">
        <v>41</v>
      </c>
      <c r="H3" s="13" t="s">
        <v>49</v>
      </c>
      <c r="I3" s="13" t="s">
        <v>50</v>
      </c>
      <c r="J3" s="13" t="s">
        <v>50</v>
      </c>
      <c r="K3" s="14" t="s">
        <v>44</v>
      </c>
      <c r="L3" s="13" t="s">
        <v>50</v>
      </c>
      <c r="M3" s="14" t="s">
        <v>44</v>
      </c>
    </row>
    <row r="4" customFormat="false" ht="23.85" hidden="false" customHeight="false" outlineLevel="0" collapsed="false">
      <c r="A4" s="13" t="s">
        <v>51</v>
      </c>
      <c r="B4" s="13" t="s">
        <v>36</v>
      </c>
      <c r="C4" s="13" t="s">
        <v>37</v>
      </c>
      <c r="D4" s="13" t="s">
        <v>52</v>
      </c>
      <c r="E4" s="13" t="s">
        <v>53</v>
      </c>
      <c r="F4" s="13" t="s">
        <v>54</v>
      </c>
      <c r="G4" s="13" t="s">
        <v>41</v>
      </c>
      <c r="H4" s="13" t="s">
        <v>55</v>
      </c>
      <c r="I4" s="13" t="s">
        <v>50</v>
      </c>
      <c r="J4" s="13" t="s">
        <v>50</v>
      </c>
      <c r="K4" s="14" t="s">
        <v>44</v>
      </c>
      <c r="L4" s="13" t="s">
        <v>50</v>
      </c>
      <c r="M4" s="14" t="s">
        <v>44</v>
      </c>
    </row>
    <row r="5" customFormat="false" ht="23.85" hidden="false" customHeight="false" outlineLevel="0" collapsed="false">
      <c r="A5" s="13" t="s">
        <v>56</v>
      </c>
      <c r="B5" s="13" t="s">
        <v>36</v>
      </c>
      <c r="C5" s="13" t="s">
        <v>37</v>
      </c>
      <c r="D5" s="13" t="s">
        <v>57</v>
      </c>
      <c r="E5" s="13" t="s">
        <v>58</v>
      </c>
      <c r="F5" s="13" t="s">
        <v>59</v>
      </c>
      <c r="G5" s="13" t="s">
        <v>60</v>
      </c>
      <c r="H5" s="13" t="s">
        <v>61</v>
      </c>
      <c r="I5" s="13" t="s">
        <v>62</v>
      </c>
      <c r="J5" s="13" t="s">
        <v>62</v>
      </c>
      <c r="K5" s="14" t="s">
        <v>44</v>
      </c>
      <c r="L5" s="13" t="s">
        <v>62</v>
      </c>
      <c r="M5" s="14" t="s">
        <v>44</v>
      </c>
    </row>
    <row r="6" customFormat="false" ht="23.85" hidden="false" customHeight="false" outlineLevel="0" collapsed="false">
      <c r="A6" s="13" t="s">
        <v>63</v>
      </c>
      <c r="B6" s="13" t="s">
        <v>36</v>
      </c>
      <c r="C6" s="13" t="s">
        <v>37</v>
      </c>
      <c r="D6" s="13" t="s">
        <v>64</v>
      </c>
      <c r="E6" s="13" t="s">
        <v>65</v>
      </c>
      <c r="F6" s="13" t="s">
        <v>66</v>
      </c>
      <c r="G6" s="13" t="s">
        <v>67</v>
      </c>
      <c r="H6" s="13" t="s">
        <v>68</v>
      </c>
      <c r="I6" s="13" t="s">
        <v>43</v>
      </c>
      <c r="J6" s="13" t="s">
        <v>43</v>
      </c>
      <c r="K6" s="14" t="s">
        <v>44</v>
      </c>
      <c r="L6" s="13" t="s">
        <v>43</v>
      </c>
      <c r="M6" s="14" t="s">
        <v>44</v>
      </c>
    </row>
    <row r="7" customFormat="false" ht="23.85" hidden="false" customHeight="false" outlineLevel="0" collapsed="false">
      <c r="A7" s="13" t="s">
        <v>69</v>
      </c>
      <c r="B7" s="13" t="s">
        <v>36</v>
      </c>
      <c r="C7" s="13" t="s">
        <v>37</v>
      </c>
      <c r="D7" s="13" t="s">
        <v>70</v>
      </c>
      <c r="E7" s="13" t="s">
        <v>71</v>
      </c>
      <c r="F7" s="13" t="s">
        <v>72</v>
      </c>
      <c r="G7" s="13" t="s">
        <v>67</v>
      </c>
      <c r="H7" s="13" t="s">
        <v>73</v>
      </c>
      <c r="I7" s="13" t="s">
        <v>50</v>
      </c>
      <c r="J7" s="13" t="s">
        <v>50</v>
      </c>
      <c r="K7" s="14" t="s">
        <v>44</v>
      </c>
      <c r="L7" s="13" t="s">
        <v>50</v>
      </c>
      <c r="M7" s="14" t="s">
        <v>44</v>
      </c>
    </row>
    <row r="8" customFormat="false" ht="23.85" hidden="false" customHeight="false" outlineLevel="0" collapsed="false">
      <c r="A8" s="13" t="s">
        <v>74</v>
      </c>
      <c r="B8" s="13" t="s">
        <v>36</v>
      </c>
      <c r="C8" s="13" t="s">
        <v>37</v>
      </c>
      <c r="D8" s="13" t="s">
        <v>75</v>
      </c>
      <c r="E8" s="13" t="s">
        <v>76</v>
      </c>
      <c r="F8" s="13" t="s">
        <v>66</v>
      </c>
      <c r="G8" s="13" t="s">
        <v>77</v>
      </c>
      <c r="H8" s="13" t="s">
        <v>78</v>
      </c>
      <c r="I8" s="13" t="s">
        <v>79</v>
      </c>
      <c r="J8" s="13" t="s">
        <v>79</v>
      </c>
      <c r="K8" s="14" t="s">
        <v>44</v>
      </c>
      <c r="L8" s="13" t="s">
        <v>79</v>
      </c>
      <c r="M8" s="14" t="s">
        <v>44</v>
      </c>
    </row>
    <row r="9" customFormat="false" ht="35.05" hidden="false" customHeight="false" outlineLevel="0" collapsed="false">
      <c r="A9" s="13" t="s">
        <v>80</v>
      </c>
      <c r="B9" s="13" t="s">
        <v>36</v>
      </c>
      <c r="C9" s="13" t="s">
        <v>37</v>
      </c>
      <c r="D9" s="13" t="s">
        <v>81</v>
      </c>
      <c r="E9" s="13" t="s">
        <v>82</v>
      </c>
      <c r="F9" s="13" t="s">
        <v>83</v>
      </c>
      <c r="G9" s="13" t="s">
        <v>84</v>
      </c>
      <c r="H9" s="13" t="s">
        <v>85</v>
      </c>
      <c r="I9" s="13" t="s">
        <v>86</v>
      </c>
      <c r="J9" s="13" t="s">
        <v>86</v>
      </c>
      <c r="K9" s="14" t="s">
        <v>44</v>
      </c>
      <c r="L9" s="13" t="s">
        <v>86</v>
      </c>
      <c r="M9" s="14" t="s">
        <v>44</v>
      </c>
    </row>
    <row r="10" customFormat="false" ht="15" hidden="false" customHeight="false" outlineLevel="0" collapsed="false">
      <c r="A10" s="13" t="s">
        <v>87</v>
      </c>
      <c r="B10" s="13" t="s">
        <v>88</v>
      </c>
      <c r="C10" s="13" t="s">
        <v>89</v>
      </c>
      <c r="D10" s="13" t="s">
        <v>90</v>
      </c>
      <c r="E10" s="13" t="s">
        <v>91</v>
      </c>
      <c r="F10" s="13" t="s">
        <v>92</v>
      </c>
      <c r="G10" s="13" t="s">
        <v>93</v>
      </c>
      <c r="H10" s="13" t="s">
        <v>94</v>
      </c>
      <c r="I10" s="13" t="s">
        <v>95</v>
      </c>
      <c r="J10" s="13" t="s">
        <v>95</v>
      </c>
      <c r="K10" s="14" t="s">
        <v>44</v>
      </c>
      <c r="L10" s="13" t="s">
        <v>95</v>
      </c>
      <c r="M10" s="14" t="s">
        <v>44</v>
      </c>
    </row>
    <row r="11" customFormat="false" ht="15" hidden="false" customHeight="false" outlineLevel="0" collapsed="false">
      <c r="A11" s="13" t="s">
        <v>96</v>
      </c>
      <c r="B11" s="13" t="s">
        <v>88</v>
      </c>
      <c r="C11" s="13" t="s">
        <v>89</v>
      </c>
      <c r="D11" s="13" t="s">
        <v>97</v>
      </c>
      <c r="E11" s="13" t="s">
        <v>98</v>
      </c>
      <c r="F11" s="13" t="s">
        <v>92</v>
      </c>
      <c r="G11" s="13" t="s">
        <v>67</v>
      </c>
      <c r="H11" s="13" t="s">
        <v>94</v>
      </c>
      <c r="I11" s="13" t="s">
        <v>95</v>
      </c>
      <c r="J11" s="13" t="s">
        <v>95</v>
      </c>
      <c r="K11" s="14" t="s">
        <v>44</v>
      </c>
      <c r="L11" s="13" t="s">
        <v>95</v>
      </c>
      <c r="M11" s="14" t="s">
        <v>44</v>
      </c>
    </row>
    <row r="12" customFormat="false" ht="15" hidden="false" customHeight="false" outlineLevel="0" collapsed="false">
      <c r="A12" s="13" t="s">
        <v>99</v>
      </c>
      <c r="B12" s="13" t="s">
        <v>88</v>
      </c>
      <c r="C12" s="13" t="s">
        <v>89</v>
      </c>
      <c r="D12" s="13" t="s">
        <v>100</v>
      </c>
      <c r="E12" s="13" t="s">
        <v>101</v>
      </c>
      <c r="F12" s="13" t="s">
        <v>102</v>
      </c>
      <c r="G12" s="13" t="s">
        <v>67</v>
      </c>
      <c r="H12" s="13" t="s">
        <v>94</v>
      </c>
      <c r="I12" s="13" t="s">
        <v>103</v>
      </c>
      <c r="J12" s="13" t="s">
        <v>103</v>
      </c>
      <c r="K12" s="14" t="s">
        <v>44</v>
      </c>
      <c r="L12" s="13" t="s">
        <v>103</v>
      </c>
      <c r="M12" s="14" t="s">
        <v>44</v>
      </c>
    </row>
    <row r="13" customFormat="false" ht="15" hidden="false" customHeight="false" outlineLevel="0" collapsed="false">
      <c r="A13" s="13" t="s">
        <v>104</v>
      </c>
      <c r="B13" s="13" t="s">
        <v>88</v>
      </c>
      <c r="C13" s="13" t="s">
        <v>89</v>
      </c>
      <c r="D13" s="13" t="s">
        <v>105</v>
      </c>
      <c r="E13" s="13" t="s">
        <v>106</v>
      </c>
      <c r="F13" s="13" t="s">
        <v>102</v>
      </c>
      <c r="G13" s="13" t="s">
        <v>93</v>
      </c>
      <c r="H13" s="13" t="s">
        <v>94</v>
      </c>
      <c r="I13" s="13" t="s">
        <v>103</v>
      </c>
      <c r="J13" s="13" t="s">
        <v>103</v>
      </c>
      <c r="K13" s="14" t="s">
        <v>44</v>
      </c>
      <c r="L13" s="13" t="s">
        <v>103</v>
      </c>
      <c r="M13" s="14" t="s">
        <v>44</v>
      </c>
    </row>
    <row r="14" customFormat="false" ht="15" hidden="false" customHeight="false" outlineLevel="0" collapsed="false">
      <c r="A14" s="13" t="s">
        <v>107</v>
      </c>
      <c r="B14" s="13" t="s">
        <v>88</v>
      </c>
      <c r="C14" s="13" t="s">
        <v>89</v>
      </c>
      <c r="D14" s="13" t="s">
        <v>108</v>
      </c>
      <c r="E14" s="13" t="s">
        <v>109</v>
      </c>
      <c r="F14" s="13" t="s">
        <v>102</v>
      </c>
      <c r="G14" s="13" t="s">
        <v>67</v>
      </c>
      <c r="H14" s="13" t="s">
        <v>94</v>
      </c>
      <c r="I14" s="13" t="s">
        <v>103</v>
      </c>
      <c r="J14" s="13" t="s">
        <v>103</v>
      </c>
      <c r="K14" s="14" t="s">
        <v>44</v>
      </c>
      <c r="L14" s="13" t="s">
        <v>103</v>
      </c>
      <c r="M14" s="14" t="s">
        <v>44</v>
      </c>
    </row>
    <row r="15" customFormat="false" ht="15" hidden="false" customHeight="false" outlineLevel="0" collapsed="false">
      <c r="A15" s="13" t="s">
        <v>110</v>
      </c>
      <c r="B15" s="13" t="s">
        <v>88</v>
      </c>
      <c r="C15" s="13" t="s">
        <v>89</v>
      </c>
      <c r="D15" s="13" t="s">
        <v>111</v>
      </c>
      <c r="E15" s="13" t="s">
        <v>112</v>
      </c>
      <c r="F15" s="13" t="s">
        <v>113</v>
      </c>
      <c r="G15" s="13" t="s">
        <v>67</v>
      </c>
      <c r="H15" s="13" t="s">
        <v>94</v>
      </c>
      <c r="I15" s="13" t="s">
        <v>114</v>
      </c>
      <c r="J15" s="13" t="s">
        <v>114</v>
      </c>
      <c r="K15" s="14" t="s">
        <v>44</v>
      </c>
      <c r="L15" s="13" t="s">
        <v>114</v>
      </c>
      <c r="M15" s="14" t="s">
        <v>44</v>
      </c>
    </row>
    <row r="16" customFormat="false" ht="15" hidden="false" customHeight="false" outlineLevel="0" collapsed="false">
      <c r="A16" s="13" t="s">
        <v>115</v>
      </c>
      <c r="B16" s="13" t="s">
        <v>88</v>
      </c>
      <c r="C16" s="13" t="s">
        <v>89</v>
      </c>
      <c r="D16" s="13" t="s">
        <v>116</v>
      </c>
      <c r="E16" s="13" t="s">
        <v>117</v>
      </c>
      <c r="F16" s="13" t="s">
        <v>113</v>
      </c>
      <c r="G16" s="13" t="s">
        <v>93</v>
      </c>
      <c r="H16" s="13" t="s">
        <v>94</v>
      </c>
      <c r="I16" s="13" t="s">
        <v>114</v>
      </c>
      <c r="J16" s="13" t="s">
        <v>114</v>
      </c>
      <c r="K16" s="14" t="s">
        <v>44</v>
      </c>
      <c r="L16" s="13" t="s">
        <v>114</v>
      </c>
      <c r="M16" s="14" t="s">
        <v>44</v>
      </c>
    </row>
    <row r="17" customFormat="false" ht="15" hidden="false" customHeight="false" outlineLevel="0" collapsed="false">
      <c r="A17" s="13" t="s">
        <v>118</v>
      </c>
      <c r="B17" s="13" t="s">
        <v>88</v>
      </c>
      <c r="C17" s="13" t="s">
        <v>89</v>
      </c>
      <c r="D17" s="13" t="s">
        <v>119</v>
      </c>
      <c r="E17" s="13" t="s">
        <v>120</v>
      </c>
      <c r="F17" s="13" t="s">
        <v>113</v>
      </c>
      <c r="G17" s="13" t="s">
        <v>67</v>
      </c>
      <c r="H17" s="13" t="s">
        <v>94</v>
      </c>
      <c r="I17" s="13" t="s">
        <v>114</v>
      </c>
      <c r="J17" s="13" t="s">
        <v>114</v>
      </c>
      <c r="K17" s="14" t="s">
        <v>44</v>
      </c>
      <c r="L17" s="13" t="s">
        <v>114</v>
      </c>
      <c r="M17" s="14" t="s">
        <v>44</v>
      </c>
    </row>
    <row r="18" customFormat="false" ht="15" hidden="false" customHeight="false" outlineLevel="0" collapsed="false">
      <c r="A18" s="13" t="s">
        <v>121</v>
      </c>
      <c r="B18" s="13" t="s">
        <v>88</v>
      </c>
      <c r="C18" s="13" t="s">
        <v>89</v>
      </c>
      <c r="D18" s="13" t="s">
        <v>122</v>
      </c>
      <c r="E18" s="13" t="s">
        <v>123</v>
      </c>
      <c r="F18" s="13" t="s">
        <v>124</v>
      </c>
      <c r="G18" s="13" t="s">
        <v>67</v>
      </c>
      <c r="H18" s="13" t="s">
        <v>94</v>
      </c>
      <c r="I18" s="13" t="s">
        <v>125</v>
      </c>
      <c r="J18" s="13" t="s">
        <v>125</v>
      </c>
      <c r="K18" s="14" t="s">
        <v>44</v>
      </c>
      <c r="L18" s="13" t="s">
        <v>125</v>
      </c>
      <c r="M18" s="14" t="s">
        <v>44</v>
      </c>
    </row>
    <row r="19" customFormat="false" ht="15" hidden="false" customHeight="false" outlineLevel="0" collapsed="false">
      <c r="A19" s="13" t="s">
        <v>126</v>
      </c>
      <c r="B19" s="13" t="s">
        <v>88</v>
      </c>
      <c r="C19" s="13" t="s">
        <v>89</v>
      </c>
      <c r="D19" s="13" t="s">
        <v>127</v>
      </c>
      <c r="E19" s="13" t="s">
        <v>128</v>
      </c>
      <c r="F19" s="13" t="s">
        <v>124</v>
      </c>
      <c r="G19" s="13" t="s">
        <v>93</v>
      </c>
      <c r="H19" s="13" t="s">
        <v>94</v>
      </c>
      <c r="I19" s="13" t="s">
        <v>125</v>
      </c>
      <c r="J19" s="13" t="s">
        <v>125</v>
      </c>
      <c r="K19" s="14" t="s">
        <v>44</v>
      </c>
      <c r="L19" s="13" t="s">
        <v>125</v>
      </c>
      <c r="M19" s="14" t="s">
        <v>44</v>
      </c>
    </row>
    <row r="20" customFormat="false" ht="23.85" hidden="false" customHeight="false" outlineLevel="0" collapsed="false">
      <c r="A20" s="13" t="s">
        <v>129</v>
      </c>
      <c r="B20" s="13" t="s">
        <v>130</v>
      </c>
      <c r="C20" s="13" t="s">
        <v>131</v>
      </c>
      <c r="D20" s="13" t="s">
        <v>132</v>
      </c>
      <c r="E20" s="13" t="s">
        <v>133</v>
      </c>
      <c r="F20" s="13" t="s">
        <v>134</v>
      </c>
      <c r="G20" s="13" t="s">
        <v>60</v>
      </c>
      <c r="H20" s="13" t="s">
        <v>135</v>
      </c>
      <c r="I20" s="13" t="s">
        <v>136</v>
      </c>
      <c r="J20" s="13" t="s">
        <v>136</v>
      </c>
      <c r="K20" s="14" t="s">
        <v>44</v>
      </c>
      <c r="L20" s="13" t="s">
        <v>136</v>
      </c>
      <c r="M20" s="14" t="s">
        <v>44</v>
      </c>
    </row>
    <row r="21" customFormat="false" ht="23.85" hidden="false" customHeight="false" outlineLevel="0" collapsed="false">
      <c r="A21" s="13" t="s">
        <v>137</v>
      </c>
      <c r="B21" s="13" t="s">
        <v>130</v>
      </c>
      <c r="C21" s="13" t="s">
        <v>131</v>
      </c>
      <c r="D21" s="13" t="s">
        <v>138</v>
      </c>
      <c r="E21" s="13" t="s">
        <v>139</v>
      </c>
      <c r="F21" s="13" t="s">
        <v>140</v>
      </c>
      <c r="G21" s="13" t="s">
        <v>141</v>
      </c>
      <c r="H21" s="13" t="s">
        <v>142</v>
      </c>
      <c r="I21" s="13" t="s">
        <v>143</v>
      </c>
      <c r="J21" s="13" t="s">
        <v>143</v>
      </c>
      <c r="K21" s="14" t="s">
        <v>44</v>
      </c>
      <c r="L21" s="13" t="s">
        <v>143</v>
      </c>
      <c r="M21" s="14" t="s">
        <v>44</v>
      </c>
    </row>
    <row r="22" customFormat="false" ht="23.85" hidden="false" customHeight="false" outlineLevel="0" collapsed="false">
      <c r="A22" s="13" t="s">
        <v>144</v>
      </c>
      <c r="B22" s="13" t="s">
        <v>130</v>
      </c>
      <c r="C22" s="13" t="s">
        <v>131</v>
      </c>
      <c r="D22" s="13" t="s">
        <v>145</v>
      </c>
      <c r="E22" s="13" t="s">
        <v>146</v>
      </c>
      <c r="F22" s="13" t="s">
        <v>147</v>
      </c>
      <c r="G22" s="13" t="s">
        <v>148</v>
      </c>
      <c r="H22" s="13" t="s">
        <v>149</v>
      </c>
      <c r="I22" s="13" t="s">
        <v>150</v>
      </c>
      <c r="J22" s="13" t="s">
        <v>150</v>
      </c>
      <c r="K22" s="14" t="s">
        <v>44</v>
      </c>
      <c r="L22" s="13" t="s">
        <v>150</v>
      </c>
      <c r="M22" s="14" t="s">
        <v>44</v>
      </c>
    </row>
    <row r="23" customFormat="false" ht="23.85" hidden="false" customHeight="false" outlineLevel="0" collapsed="false">
      <c r="A23" s="13" t="s">
        <v>151</v>
      </c>
      <c r="B23" s="13" t="s">
        <v>130</v>
      </c>
      <c r="C23" s="13" t="s">
        <v>131</v>
      </c>
      <c r="D23" s="13" t="s">
        <v>152</v>
      </c>
      <c r="E23" s="13" t="s">
        <v>153</v>
      </c>
      <c r="F23" s="13" t="s">
        <v>154</v>
      </c>
      <c r="G23" s="13" t="s">
        <v>155</v>
      </c>
      <c r="H23" s="13" t="s">
        <v>156</v>
      </c>
      <c r="I23" s="13" t="s">
        <v>157</v>
      </c>
      <c r="J23" s="13" t="s">
        <v>157</v>
      </c>
      <c r="K23" s="14" t="s">
        <v>44</v>
      </c>
      <c r="L23" s="13" t="s">
        <v>157</v>
      </c>
      <c r="M23" s="14" t="s">
        <v>44</v>
      </c>
    </row>
    <row r="24" customFormat="false" ht="23.85" hidden="false" customHeight="false" outlineLevel="0" collapsed="false">
      <c r="A24" s="13" t="s">
        <v>158</v>
      </c>
      <c r="B24" s="13" t="s">
        <v>130</v>
      </c>
      <c r="C24" s="13" t="s">
        <v>131</v>
      </c>
      <c r="D24" s="13" t="s">
        <v>159</v>
      </c>
      <c r="E24" s="13" t="s">
        <v>160</v>
      </c>
      <c r="F24" s="13" t="s">
        <v>161</v>
      </c>
      <c r="G24" s="13" t="s">
        <v>162</v>
      </c>
      <c r="H24" s="13" t="s">
        <v>163</v>
      </c>
      <c r="I24" s="13" t="s">
        <v>164</v>
      </c>
      <c r="J24" s="13" t="s">
        <v>164</v>
      </c>
      <c r="K24" s="14" t="s">
        <v>44</v>
      </c>
      <c r="L24" s="13" t="s">
        <v>164</v>
      </c>
      <c r="M24" s="14" t="s">
        <v>44</v>
      </c>
    </row>
    <row r="25" customFormat="false" ht="23.85" hidden="false" customHeight="false" outlineLevel="0" collapsed="false">
      <c r="A25" s="13" t="s">
        <v>165</v>
      </c>
      <c r="B25" s="13" t="s">
        <v>130</v>
      </c>
      <c r="C25" s="13" t="s">
        <v>131</v>
      </c>
      <c r="D25" s="13" t="s">
        <v>166</v>
      </c>
      <c r="E25" s="13" t="s">
        <v>167</v>
      </c>
      <c r="F25" s="13" t="s">
        <v>154</v>
      </c>
      <c r="G25" s="13" t="s">
        <v>60</v>
      </c>
      <c r="H25" s="13" t="s">
        <v>156</v>
      </c>
      <c r="I25" s="13" t="s">
        <v>168</v>
      </c>
      <c r="J25" s="13" t="s">
        <v>168</v>
      </c>
      <c r="K25" s="14" t="s">
        <v>44</v>
      </c>
      <c r="L25" s="13" t="s">
        <v>168</v>
      </c>
      <c r="M25" s="14" t="s">
        <v>44</v>
      </c>
    </row>
    <row r="26" customFormat="false" ht="23.85" hidden="false" customHeight="false" outlineLevel="0" collapsed="false">
      <c r="A26" s="13" t="s">
        <v>169</v>
      </c>
      <c r="B26" s="13" t="s">
        <v>130</v>
      </c>
      <c r="C26" s="13" t="s">
        <v>131</v>
      </c>
      <c r="D26" s="13" t="s">
        <v>170</v>
      </c>
      <c r="E26" s="13" t="s">
        <v>171</v>
      </c>
      <c r="F26" s="13" t="s">
        <v>172</v>
      </c>
      <c r="G26" s="13" t="s">
        <v>60</v>
      </c>
      <c r="H26" s="13" t="s">
        <v>173</v>
      </c>
      <c r="I26" s="13" t="s">
        <v>150</v>
      </c>
      <c r="J26" s="13" t="s">
        <v>150</v>
      </c>
      <c r="K26" s="14" t="s">
        <v>44</v>
      </c>
      <c r="L26" s="13" t="s">
        <v>150</v>
      </c>
      <c r="M26" s="14" t="s">
        <v>44</v>
      </c>
    </row>
    <row r="27" customFormat="false" ht="23.85" hidden="false" customHeight="false" outlineLevel="0" collapsed="false">
      <c r="A27" s="13" t="s">
        <v>174</v>
      </c>
      <c r="B27" s="13" t="s">
        <v>130</v>
      </c>
      <c r="C27" s="13" t="s">
        <v>131</v>
      </c>
      <c r="D27" s="13" t="s">
        <v>175</v>
      </c>
      <c r="E27" s="13" t="s">
        <v>176</v>
      </c>
      <c r="F27" s="13" t="s">
        <v>177</v>
      </c>
      <c r="G27" s="13" t="s">
        <v>77</v>
      </c>
      <c r="H27" s="13" t="s">
        <v>178</v>
      </c>
      <c r="I27" s="13" t="s">
        <v>168</v>
      </c>
      <c r="J27" s="13" t="s">
        <v>168</v>
      </c>
      <c r="K27" s="14" t="s">
        <v>44</v>
      </c>
      <c r="L27" s="13" t="s">
        <v>168</v>
      </c>
      <c r="M27" s="14" t="s">
        <v>44</v>
      </c>
    </row>
    <row r="28" customFormat="false" ht="23.85" hidden="false" customHeight="false" outlineLevel="0" collapsed="false">
      <c r="A28" s="13" t="s">
        <v>179</v>
      </c>
      <c r="B28" s="13" t="s">
        <v>130</v>
      </c>
      <c r="C28" s="13" t="s">
        <v>131</v>
      </c>
      <c r="D28" s="13" t="s">
        <v>180</v>
      </c>
      <c r="E28" s="13" t="s">
        <v>181</v>
      </c>
      <c r="F28" s="13" t="s">
        <v>182</v>
      </c>
      <c r="G28" s="13" t="s">
        <v>67</v>
      </c>
      <c r="H28" s="13" t="s">
        <v>183</v>
      </c>
      <c r="I28" s="13" t="s">
        <v>184</v>
      </c>
      <c r="J28" s="13" t="s">
        <v>184</v>
      </c>
      <c r="K28" s="14" t="s">
        <v>44</v>
      </c>
      <c r="L28" s="13" t="s">
        <v>184</v>
      </c>
      <c r="M28" s="14" t="s">
        <v>44</v>
      </c>
    </row>
    <row r="29" customFormat="false" ht="23.85" hidden="false" customHeight="false" outlineLevel="0" collapsed="false">
      <c r="A29" s="13" t="s">
        <v>185</v>
      </c>
      <c r="B29" s="13" t="s">
        <v>130</v>
      </c>
      <c r="C29" s="13" t="s">
        <v>131</v>
      </c>
      <c r="D29" s="13" t="s">
        <v>186</v>
      </c>
      <c r="E29" s="13" t="s">
        <v>187</v>
      </c>
      <c r="F29" s="13" t="s">
        <v>182</v>
      </c>
      <c r="G29" s="13" t="s">
        <v>67</v>
      </c>
      <c r="H29" s="13" t="s">
        <v>188</v>
      </c>
      <c r="I29" s="13" t="s">
        <v>189</v>
      </c>
      <c r="J29" s="13" t="s">
        <v>189</v>
      </c>
      <c r="K29" s="14" t="s">
        <v>44</v>
      </c>
      <c r="L29" s="13" t="s">
        <v>189</v>
      </c>
      <c r="M29" s="14" t="s">
        <v>44</v>
      </c>
    </row>
    <row r="30" customFormat="false" ht="23.85" hidden="false" customHeight="false" outlineLevel="0" collapsed="false">
      <c r="A30" s="13" t="s">
        <v>190</v>
      </c>
      <c r="B30" s="13" t="s">
        <v>130</v>
      </c>
      <c r="C30" s="13" t="s">
        <v>131</v>
      </c>
      <c r="D30" s="13" t="s">
        <v>191</v>
      </c>
      <c r="E30" s="13" t="s">
        <v>192</v>
      </c>
      <c r="F30" s="13" t="s">
        <v>193</v>
      </c>
      <c r="G30" s="13" t="s">
        <v>60</v>
      </c>
      <c r="H30" s="13" t="s">
        <v>194</v>
      </c>
      <c r="I30" s="13" t="s">
        <v>189</v>
      </c>
      <c r="J30" s="13" t="s">
        <v>189</v>
      </c>
      <c r="K30" s="14" t="s">
        <v>44</v>
      </c>
      <c r="L30" s="13" t="s">
        <v>189</v>
      </c>
      <c r="M30" s="14" t="s">
        <v>44</v>
      </c>
    </row>
    <row r="31" customFormat="false" ht="15" hidden="false" customHeight="false" outlineLevel="0" collapsed="false">
      <c r="A31" s="13" t="s">
        <v>195</v>
      </c>
      <c r="B31" s="13" t="s">
        <v>196</v>
      </c>
      <c r="C31" s="13" t="s">
        <v>131</v>
      </c>
      <c r="D31" s="13" t="s">
        <v>197</v>
      </c>
      <c r="E31" s="13" t="s">
        <v>198</v>
      </c>
      <c r="F31" s="13" t="s">
        <v>199</v>
      </c>
      <c r="G31" s="13" t="s">
        <v>200</v>
      </c>
      <c r="H31" s="13" t="s">
        <v>201</v>
      </c>
      <c r="I31" s="13" t="s">
        <v>202</v>
      </c>
      <c r="J31" s="13" t="s">
        <v>202</v>
      </c>
      <c r="K31" s="14" t="s">
        <v>44</v>
      </c>
      <c r="L31" s="13" t="s">
        <v>202</v>
      </c>
      <c r="M31" s="14" t="s">
        <v>44</v>
      </c>
    </row>
    <row r="32" customFormat="false" ht="15" hidden="false" customHeight="false" outlineLevel="0" collapsed="false">
      <c r="A32" s="13" t="s">
        <v>203</v>
      </c>
      <c r="B32" s="13" t="s">
        <v>196</v>
      </c>
      <c r="C32" s="13" t="s">
        <v>131</v>
      </c>
      <c r="D32" s="13" t="s">
        <v>204</v>
      </c>
      <c r="E32" s="13" t="s">
        <v>205</v>
      </c>
      <c r="F32" s="13" t="s">
        <v>206</v>
      </c>
      <c r="G32" s="13" t="s">
        <v>207</v>
      </c>
      <c r="H32" s="13" t="s">
        <v>208</v>
      </c>
      <c r="I32" s="13" t="s">
        <v>202</v>
      </c>
      <c r="J32" s="13" t="s">
        <v>202</v>
      </c>
      <c r="K32" s="14" t="s">
        <v>44</v>
      </c>
      <c r="L32" s="13" t="s">
        <v>202</v>
      </c>
      <c r="M32" s="14" t="s">
        <v>44</v>
      </c>
    </row>
    <row r="33" customFormat="false" ht="15" hidden="false" customHeight="false" outlineLevel="0" collapsed="false">
      <c r="A33" s="13" t="s">
        <v>209</v>
      </c>
      <c r="B33" s="13" t="s">
        <v>196</v>
      </c>
      <c r="C33" s="13" t="s">
        <v>131</v>
      </c>
      <c r="D33" s="13" t="s">
        <v>210</v>
      </c>
      <c r="E33" s="13" t="s">
        <v>211</v>
      </c>
      <c r="F33" s="13" t="s">
        <v>212</v>
      </c>
      <c r="G33" s="13" t="s">
        <v>207</v>
      </c>
      <c r="H33" s="13" t="s">
        <v>213</v>
      </c>
      <c r="I33" s="13" t="s">
        <v>202</v>
      </c>
      <c r="J33" s="13" t="s">
        <v>202</v>
      </c>
      <c r="K33" s="14" t="s">
        <v>44</v>
      </c>
      <c r="L33" s="13" t="s">
        <v>202</v>
      </c>
      <c r="M33" s="14" t="s">
        <v>44</v>
      </c>
    </row>
    <row r="34" customFormat="false" ht="15" hidden="false" customHeight="false" outlineLevel="0" collapsed="false">
      <c r="A34" s="13" t="s">
        <v>214</v>
      </c>
      <c r="B34" s="13" t="s">
        <v>196</v>
      </c>
      <c r="C34" s="13" t="s">
        <v>131</v>
      </c>
      <c r="D34" s="13" t="s">
        <v>215</v>
      </c>
      <c r="E34" s="13" t="s">
        <v>216</v>
      </c>
      <c r="F34" s="13" t="s">
        <v>217</v>
      </c>
      <c r="G34" s="13" t="s">
        <v>207</v>
      </c>
      <c r="H34" s="13" t="s">
        <v>218</v>
      </c>
      <c r="I34" s="13" t="s">
        <v>202</v>
      </c>
      <c r="J34" s="13" t="s">
        <v>202</v>
      </c>
      <c r="K34" s="14" t="s">
        <v>44</v>
      </c>
      <c r="L34" s="13" t="s">
        <v>202</v>
      </c>
      <c r="M34" s="14" t="s">
        <v>44</v>
      </c>
    </row>
    <row r="35" customFormat="false" ht="15" hidden="false" customHeight="false" outlineLevel="0" collapsed="false">
      <c r="A35" s="13" t="s">
        <v>219</v>
      </c>
      <c r="B35" s="13" t="s">
        <v>196</v>
      </c>
      <c r="C35" s="13" t="s">
        <v>131</v>
      </c>
      <c r="D35" s="13" t="s">
        <v>220</v>
      </c>
      <c r="E35" s="13" t="s">
        <v>221</v>
      </c>
      <c r="F35" s="13" t="s">
        <v>222</v>
      </c>
      <c r="G35" s="13" t="s">
        <v>207</v>
      </c>
      <c r="H35" s="13" t="s">
        <v>223</v>
      </c>
      <c r="I35" s="13" t="s">
        <v>202</v>
      </c>
      <c r="J35" s="13" t="s">
        <v>202</v>
      </c>
      <c r="K35" s="14" t="s">
        <v>44</v>
      </c>
      <c r="L35" s="13" t="s">
        <v>202</v>
      </c>
      <c r="M35" s="14" t="s">
        <v>44</v>
      </c>
    </row>
    <row r="36" customFormat="false" ht="15" hidden="false" customHeight="false" outlineLevel="0" collapsed="false">
      <c r="A36" s="13" t="s">
        <v>224</v>
      </c>
      <c r="B36" s="13" t="s">
        <v>196</v>
      </c>
      <c r="C36" s="13" t="s">
        <v>131</v>
      </c>
      <c r="D36" s="13" t="s">
        <v>225</v>
      </c>
      <c r="E36" s="13" t="s">
        <v>226</v>
      </c>
      <c r="F36" s="13" t="s">
        <v>227</v>
      </c>
      <c r="G36" s="13" t="s">
        <v>155</v>
      </c>
      <c r="H36" s="13" t="s">
        <v>228</v>
      </c>
      <c r="I36" s="13" t="s">
        <v>229</v>
      </c>
      <c r="J36" s="13" t="s">
        <v>229</v>
      </c>
      <c r="K36" s="14" t="s">
        <v>44</v>
      </c>
      <c r="L36" s="13" t="s">
        <v>229</v>
      </c>
      <c r="M36" s="14" t="s">
        <v>44</v>
      </c>
    </row>
    <row r="37" customFormat="false" ht="23.85" hidden="false" customHeight="false" outlineLevel="0" collapsed="false">
      <c r="A37" s="13" t="s">
        <v>230</v>
      </c>
      <c r="B37" s="13" t="s">
        <v>196</v>
      </c>
      <c r="C37" s="13" t="s">
        <v>131</v>
      </c>
      <c r="D37" s="13" t="s">
        <v>231</v>
      </c>
      <c r="E37" s="13" t="s">
        <v>232</v>
      </c>
      <c r="F37" s="13" t="s">
        <v>227</v>
      </c>
      <c r="G37" s="13" t="s">
        <v>233</v>
      </c>
      <c r="H37" s="13" t="s">
        <v>234</v>
      </c>
      <c r="I37" s="13" t="s">
        <v>229</v>
      </c>
      <c r="J37" s="13" t="s">
        <v>229</v>
      </c>
      <c r="K37" s="14" t="s">
        <v>44</v>
      </c>
      <c r="L37" s="13" t="s">
        <v>229</v>
      </c>
      <c r="M37" s="14" t="s">
        <v>44</v>
      </c>
    </row>
    <row r="38" customFormat="false" ht="15" hidden="false" customHeight="false" outlineLevel="0" collapsed="false">
      <c r="A38" s="13" t="s">
        <v>235</v>
      </c>
      <c r="B38" s="13" t="s">
        <v>196</v>
      </c>
      <c r="C38" s="13" t="s">
        <v>131</v>
      </c>
      <c r="D38" s="13" t="s">
        <v>236</v>
      </c>
      <c r="E38" s="13" t="s">
        <v>237</v>
      </c>
      <c r="F38" s="13" t="s">
        <v>227</v>
      </c>
      <c r="G38" s="13" t="s">
        <v>233</v>
      </c>
      <c r="H38" s="13" t="s">
        <v>238</v>
      </c>
      <c r="I38" s="13" t="s">
        <v>229</v>
      </c>
      <c r="J38" s="13" t="s">
        <v>229</v>
      </c>
      <c r="K38" s="14" t="s">
        <v>44</v>
      </c>
      <c r="L38" s="13" t="s">
        <v>229</v>
      </c>
      <c r="M38" s="14" t="s">
        <v>44</v>
      </c>
    </row>
    <row r="39" customFormat="false" ht="23.85" hidden="false" customHeight="false" outlineLevel="0" collapsed="false">
      <c r="A39" s="13" t="s">
        <v>239</v>
      </c>
      <c r="B39" s="13" t="s">
        <v>196</v>
      </c>
      <c r="C39" s="13" t="s">
        <v>131</v>
      </c>
      <c r="D39" s="13" t="s">
        <v>240</v>
      </c>
      <c r="E39" s="13" t="s">
        <v>241</v>
      </c>
      <c r="F39" s="13" t="s">
        <v>227</v>
      </c>
      <c r="G39" s="13" t="s">
        <v>233</v>
      </c>
      <c r="H39" s="13" t="s">
        <v>242</v>
      </c>
      <c r="I39" s="13" t="s">
        <v>229</v>
      </c>
      <c r="J39" s="13" t="s">
        <v>229</v>
      </c>
      <c r="K39" s="14" t="s">
        <v>44</v>
      </c>
      <c r="L39" s="13" t="s">
        <v>229</v>
      </c>
      <c r="M39" s="14" t="s">
        <v>44</v>
      </c>
    </row>
    <row r="40" customFormat="false" ht="15" hidden="false" customHeight="false" outlineLevel="0" collapsed="false">
      <c r="A40" s="13" t="s">
        <v>243</v>
      </c>
      <c r="B40" s="13" t="s">
        <v>244</v>
      </c>
      <c r="C40" s="13" t="s">
        <v>245</v>
      </c>
      <c r="D40" s="13" t="s">
        <v>246</v>
      </c>
      <c r="E40" s="13" t="s">
        <v>247</v>
      </c>
      <c r="F40" s="13" t="s">
        <v>92</v>
      </c>
      <c r="G40" s="13" t="s">
        <v>248</v>
      </c>
      <c r="H40" s="13" t="s">
        <v>249</v>
      </c>
      <c r="I40" s="13" t="s">
        <v>229</v>
      </c>
      <c r="J40" s="13" t="s">
        <v>229</v>
      </c>
      <c r="K40" s="14" t="s">
        <v>44</v>
      </c>
      <c r="L40" s="13" t="s">
        <v>229</v>
      </c>
      <c r="M40" s="14" t="s">
        <v>44</v>
      </c>
    </row>
    <row r="41" customFormat="false" ht="15" hidden="false" customHeight="false" outlineLevel="0" collapsed="false">
      <c r="A41" s="13" t="s">
        <v>250</v>
      </c>
      <c r="B41" s="13" t="s">
        <v>244</v>
      </c>
      <c r="C41" s="13" t="s">
        <v>245</v>
      </c>
      <c r="D41" s="13" t="s">
        <v>251</v>
      </c>
      <c r="E41" s="13" t="s">
        <v>252</v>
      </c>
      <c r="F41" s="13" t="s">
        <v>92</v>
      </c>
      <c r="G41" s="13" t="s">
        <v>233</v>
      </c>
      <c r="H41" s="13" t="s">
        <v>253</v>
      </c>
      <c r="I41" s="13" t="s">
        <v>202</v>
      </c>
      <c r="J41" s="13" t="s">
        <v>202</v>
      </c>
      <c r="K41" s="14" t="s">
        <v>44</v>
      </c>
      <c r="L41" s="13" t="s">
        <v>202</v>
      </c>
      <c r="M41" s="14" t="s">
        <v>44</v>
      </c>
    </row>
    <row r="42" customFormat="false" ht="15" hidden="false" customHeight="false" outlineLevel="0" collapsed="false">
      <c r="A42" s="13" t="s">
        <v>254</v>
      </c>
      <c r="B42" s="13" t="s">
        <v>244</v>
      </c>
      <c r="C42" s="13" t="s">
        <v>245</v>
      </c>
      <c r="D42" s="13" t="s">
        <v>255</v>
      </c>
      <c r="E42" s="13" t="s">
        <v>256</v>
      </c>
      <c r="F42" s="13" t="s">
        <v>257</v>
      </c>
      <c r="G42" s="13" t="s">
        <v>41</v>
      </c>
      <c r="H42" s="13" t="s">
        <v>258</v>
      </c>
      <c r="I42" s="13" t="s">
        <v>229</v>
      </c>
      <c r="J42" s="13" t="s">
        <v>229</v>
      </c>
      <c r="K42" s="14" t="s">
        <v>44</v>
      </c>
      <c r="L42" s="13" t="s">
        <v>229</v>
      </c>
      <c r="M42" s="14" t="s">
        <v>44</v>
      </c>
    </row>
    <row r="43" customFormat="false" ht="15" hidden="false" customHeight="false" outlineLevel="0" collapsed="false">
      <c r="A43" s="13" t="s">
        <v>259</v>
      </c>
      <c r="B43" s="13" t="s">
        <v>244</v>
      </c>
      <c r="C43" s="13" t="s">
        <v>245</v>
      </c>
      <c r="D43" s="13" t="s">
        <v>260</v>
      </c>
      <c r="E43" s="13" t="s">
        <v>261</v>
      </c>
      <c r="F43" s="13" t="s">
        <v>262</v>
      </c>
      <c r="G43" s="13" t="s">
        <v>84</v>
      </c>
      <c r="H43" s="13" t="s">
        <v>263</v>
      </c>
      <c r="I43" s="13" t="s">
        <v>229</v>
      </c>
      <c r="J43" s="13" t="s">
        <v>229</v>
      </c>
      <c r="K43" s="14" t="s">
        <v>44</v>
      </c>
      <c r="L43" s="13" t="s">
        <v>229</v>
      </c>
      <c r="M43" s="14" t="s">
        <v>44</v>
      </c>
    </row>
    <row r="44" customFormat="false" ht="15" hidden="false" customHeight="false" outlineLevel="0" collapsed="false">
      <c r="A44" s="13" t="s">
        <v>264</v>
      </c>
      <c r="B44" s="13" t="s">
        <v>244</v>
      </c>
      <c r="C44" s="13" t="s">
        <v>245</v>
      </c>
      <c r="D44" s="13" t="s">
        <v>265</v>
      </c>
      <c r="E44" s="13" t="s">
        <v>266</v>
      </c>
      <c r="F44" s="13" t="s">
        <v>267</v>
      </c>
      <c r="G44" s="13" t="s">
        <v>84</v>
      </c>
      <c r="H44" s="13" t="s">
        <v>268</v>
      </c>
      <c r="I44" s="13" t="s">
        <v>229</v>
      </c>
      <c r="J44" s="13" t="s">
        <v>229</v>
      </c>
      <c r="K44" s="14" t="s">
        <v>44</v>
      </c>
      <c r="L44" s="13" t="s">
        <v>229</v>
      </c>
      <c r="M44" s="14" t="s">
        <v>44</v>
      </c>
    </row>
    <row r="45" customFormat="false" ht="15" hidden="false" customHeight="false" outlineLevel="0" collapsed="false">
      <c r="A45" s="13" t="s">
        <v>269</v>
      </c>
      <c r="B45" s="13" t="s">
        <v>244</v>
      </c>
      <c r="C45" s="13" t="s">
        <v>245</v>
      </c>
      <c r="D45" s="13" t="s">
        <v>270</v>
      </c>
      <c r="E45" s="13" t="s">
        <v>271</v>
      </c>
      <c r="F45" s="13" t="s">
        <v>272</v>
      </c>
      <c r="G45" s="13" t="s">
        <v>41</v>
      </c>
      <c r="H45" s="13" t="s">
        <v>273</v>
      </c>
      <c r="I45" s="13" t="s">
        <v>202</v>
      </c>
      <c r="J45" s="13" t="s">
        <v>202</v>
      </c>
      <c r="K45" s="14" t="s">
        <v>44</v>
      </c>
      <c r="L45" s="13" t="s">
        <v>202</v>
      </c>
      <c r="M45" s="14" t="s">
        <v>44</v>
      </c>
    </row>
    <row r="46" customFormat="false" ht="15" hidden="false" customHeight="false" outlineLevel="0" collapsed="false">
      <c r="A46" s="13" t="s">
        <v>274</v>
      </c>
      <c r="B46" s="13" t="s">
        <v>244</v>
      </c>
      <c r="C46" s="13" t="s">
        <v>245</v>
      </c>
      <c r="D46" s="13" t="s">
        <v>275</v>
      </c>
      <c r="E46" s="13" t="s">
        <v>276</v>
      </c>
      <c r="F46" s="13" t="s">
        <v>272</v>
      </c>
      <c r="G46" s="13" t="s">
        <v>67</v>
      </c>
      <c r="H46" s="13" t="s">
        <v>277</v>
      </c>
      <c r="I46" s="13" t="s">
        <v>229</v>
      </c>
      <c r="J46" s="13" t="s">
        <v>229</v>
      </c>
      <c r="K46" s="14" t="s">
        <v>44</v>
      </c>
      <c r="L46" s="13" t="s">
        <v>229</v>
      </c>
      <c r="M46" s="14" t="s">
        <v>44</v>
      </c>
    </row>
    <row r="47" customFormat="false" ht="15" hidden="false" customHeight="false" outlineLevel="0" collapsed="false">
      <c r="A47" s="13" t="s">
        <v>278</v>
      </c>
      <c r="B47" s="13" t="s">
        <v>244</v>
      </c>
      <c r="C47" s="13" t="s">
        <v>245</v>
      </c>
      <c r="D47" s="13" t="s">
        <v>279</v>
      </c>
      <c r="E47" s="13" t="s">
        <v>280</v>
      </c>
      <c r="F47" s="13" t="s">
        <v>281</v>
      </c>
      <c r="G47" s="13" t="s">
        <v>282</v>
      </c>
      <c r="H47" s="13" t="s">
        <v>283</v>
      </c>
      <c r="I47" s="13" t="s">
        <v>202</v>
      </c>
      <c r="J47" s="13" t="s">
        <v>202</v>
      </c>
      <c r="K47" s="14" t="s">
        <v>44</v>
      </c>
      <c r="L47" s="13" t="s">
        <v>202</v>
      </c>
      <c r="M47" s="14" t="s">
        <v>44</v>
      </c>
    </row>
    <row r="48" customFormat="false" ht="15" hidden="false" customHeight="false" outlineLevel="0" collapsed="false">
      <c r="A48" s="13" t="s">
        <v>284</v>
      </c>
      <c r="B48" s="13" t="s">
        <v>244</v>
      </c>
      <c r="C48" s="13" t="s">
        <v>245</v>
      </c>
      <c r="D48" s="13" t="s">
        <v>285</v>
      </c>
      <c r="E48" s="13" t="s">
        <v>286</v>
      </c>
      <c r="F48" s="13" t="s">
        <v>287</v>
      </c>
      <c r="G48" s="13" t="s">
        <v>155</v>
      </c>
      <c r="H48" s="13" t="s">
        <v>288</v>
      </c>
      <c r="I48" s="13" t="s">
        <v>229</v>
      </c>
      <c r="J48" s="13" t="s">
        <v>229</v>
      </c>
      <c r="K48" s="14" t="s">
        <v>44</v>
      </c>
      <c r="L48" s="13" t="s">
        <v>229</v>
      </c>
      <c r="M48" s="14" t="s">
        <v>44</v>
      </c>
    </row>
    <row r="49" customFormat="false" ht="15" hidden="false" customHeight="false" outlineLevel="0" collapsed="false">
      <c r="A49" s="13" t="s">
        <v>289</v>
      </c>
      <c r="B49" s="13" t="s">
        <v>244</v>
      </c>
      <c r="C49" s="13" t="s">
        <v>245</v>
      </c>
      <c r="D49" s="13" t="s">
        <v>290</v>
      </c>
      <c r="E49" s="13" t="s">
        <v>291</v>
      </c>
      <c r="F49" s="13" t="s">
        <v>292</v>
      </c>
      <c r="G49" s="13" t="s">
        <v>207</v>
      </c>
      <c r="H49" s="13" t="s">
        <v>293</v>
      </c>
      <c r="I49" s="13" t="s">
        <v>202</v>
      </c>
      <c r="J49" s="13" t="s">
        <v>202</v>
      </c>
      <c r="K49" s="14" t="s">
        <v>44</v>
      </c>
      <c r="L49" s="13" t="s">
        <v>202</v>
      </c>
      <c r="M49" s="14" t="s">
        <v>44</v>
      </c>
    </row>
    <row r="50" customFormat="false" ht="15" hidden="false" customHeight="false" outlineLevel="0" collapsed="false">
      <c r="A50" s="13" t="s">
        <v>294</v>
      </c>
      <c r="B50" s="13" t="s">
        <v>244</v>
      </c>
      <c r="C50" s="13" t="s">
        <v>245</v>
      </c>
      <c r="D50" s="13" t="s">
        <v>295</v>
      </c>
      <c r="E50" s="13" t="s">
        <v>296</v>
      </c>
      <c r="F50" s="13" t="s">
        <v>281</v>
      </c>
      <c r="G50" s="13" t="s">
        <v>233</v>
      </c>
      <c r="H50" s="13" t="s">
        <v>297</v>
      </c>
      <c r="I50" s="13" t="s">
        <v>202</v>
      </c>
      <c r="J50" s="13" t="s">
        <v>202</v>
      </c>
      <c r="K50" s="14" t="s">
        <v>44</v>
      </c>
      <c r="L50" s="13" t="s">
        <v>202</v>
      </c>
      <c r="M50" s="14" t="s">
        <v>44</v>
      </c>
    </row>
    <row r="51" customFormat="false" ht="15" hidden="false" customHeight="false" outlineLevel="0" collapsed="false">
      <c r="A51" s="13" t="s">
        <v>298</v>
      </c>
      <c r="B51" s="13" t="s">
        <v>244</v>
      </c>
      <c r="C51" s="13" t="s">
        <v>245</v>
      </c>
      <c r="D51" s="13" t="s">
        <v>299</v>
      </c>
      <c r="E51" s="13" t="s">
        <v>300</v>
      </c>
      <c r="F51" s="13" t="s">
        <v>301</v>
      </c>
      <c r="G51" s="13" t="s">
        <v>282</v>
      </c>
      <c r="H51" s="13" t="s">
        <v>302</v>
      </c>
      <c r="I51" s="13" t="s">
        <v>202</v>
      </c>
      <c r="J51" s="13" t="s">
        <v>202</v>
      </c>
      <c r="K51" s="14" t="s">
        <v>44</v>
      </c>
      <c r="L51" s="13" t="s">
        <v>202</v>
      </c>
      <c r="M51" s="14" t="s">
        <v>44</v>
      </c>
    </row>
    <row r="52" customFormat="false" ht="15" hidden="false" customHeight="false" outlineLevel="0" collapsed="false">
      <c r="A52" s="13" t="s">
        <v>303</v>
      </c>
      <c r="B52" s="13" t="s">
        <v>244</v>
      </c>
      <c r="C52" s="13" t="s">
        <v>245</v>
      </c>
      <c r="D52" s="13" t="s">
        <v>304</v>
      </c>
      <c r="E52" s="13" t="s">
        <v>305</v>
      </c>
      <c r="F52" s="13" t="s">
        <v>306</v>
      </c>
      <c r="G52" s="13" t="s">
        <v>155</v>
      </c>
      <c r="H52" s="13" t="s">
        <v>307</v>
      </c>
      <c r="I52" s="13" t="s">
        <v>229</v>
      </c>
      <c r="J52" s="13" t="s">
        <v>229</v>
      </c>
      <c r="K52" s="14" t="s">
        <v>44</v>
      </c>
      <c r="L52" s="13" t="s">
        <v>229</v>
      </c>
      <c r="M52" s="14" t="s">
        <v>44</v>
      </c>
    </row>
    <row r="53" customFormat="false" ht="15" hidden="false" customHeight="false" outlineLevel="0" collapsed="false">
      <c r="A53" s="13" t="s">
        <v>308</v>
      </c>
      <c r="B53" s="13" t="s">
        <v>244</v>
      </c>
      <c r="C53" s="13" t="s">
        <v>245</v>
      </c>
      <c r="D53" s="13" t="s">
        <v>309</v>
      </c>
      <c r="E53" s="13" t="s">
        <v>310</v>
      </c>
      <c r="F53" s="13" t="s">
        <v>311</v>
      </c>
      <c r="G53" s="13" t="s">
        <v>207</v>
      </c>
      <c r="H53" s="13" t="s">
        <v>312</v>
      </c>
      <c r="I53" s="13" t="s">
        <v>202</v>
      </c>
      <c r="J53" s="13" t="s">
        <v>202</v>
      </c>
      <c r="K53" s="14" t="s">
        <v>44</v>
      </c>
      <c r="L53" s="13" t="s">
        <v>202</v>
      </c>
      <c r="M53" s="14" t="s">
        <v>44</v>
      </c>
    </row>
    <row r="54" customFormat="false" ht="23.85" hidden="false" customHeight="false" outlineLevel="0" collapsed="false">
      <c r="A54" s="13" t="s">
        <v>313</v>
      </c>
      <c r="B54" s="13" t="s">
        <v>244</v>
      </c>
      <c r="C54" s="13" t="s">
        <v>245</v>
      </c>
      <c r="D54" s="13" t="s">
        <v>314</v>
      </c>
      <c r="E54" s="13" t="s">
        <v>315</v>
      </c>
      <c r="F54" s="13" t="s">
        <v>316</v>
      </c>
      <c r="G54" s="13" t="s">
        <v>155</v>
      </c>
      <c r="H54" s="13" t="s">
        <v>317</v>
      </c>
      <c r="I54" s="13" t="s">
        <v>229</v>
      </c>
      <c r="J54" s="13" t="s">
        <v>229</v>
      </c>
      <c r="K54" s="14" t="s">
        <v>44</v>
      </c>
      <c r="L54" s="13" t="s">
        <v>229</v>
      </c>
      <c r="M54" s="14" t="s">
        <v>44</v>
      </c>
    </row>
    <row r="55" customFormat="false" ht="15" hidden="false" customHeight="false" outlineLevel="0" collapsed="false">
      <c r="A55" s="13" t="s">
        <v>318</v>
      </c>
      <c r="B55" s="13" t="s">
        <v>244</v>
      </c>
      <c r="C55" s="13" t="s">
        <v>245</v>
      </c>
      <c r="D55" s="13" t="s">
        <v>319</v>
      </c>
      <c r="E55" s="13" t="s">
        <v>320</v>
      </c>
      <c r="F55" s="13" t="s">
        <v>321</v>
      </c>
      <c r="G55" s="13" t="s">
        <v>162</v>
      </c>
      <c r="H55" s="13" t="s">
        <v>322</v>
      </c>
      <c r="I55" s="13" t="s">
        <v>229</v>
      </c>
      <c r="J55" s="13" t="s">
        <v>229</v>
      </c>
      <c r="K55" s="14" t="s">
        <v>44</v>
      </c>
      <c r="L55" s="13" t="s">
        <v>229</v>
      </c>
      <c r="M55" s="14" t="s">
        <v>44</v>
      </c>
    </row>
    <row r="56" customFormat="false" ht="23.85" hidden="false" customHeight="false" outlineLevel="0" collapsed="false">
      <c r="A56" s="13" t="s">
        <v>323</v>
      </c>
      <c r="B56" s="13" t="s">
        <v>244</v>
      </c>
      <c r="C56" s="13" t="s">
        <v>245</v>
      </c>
      <c r="D56" s="13" t="s">
        <v>324</v>
      </c>
      <c r="E56" s="13" t="s">
        <v>325</v>
      </c>
      <c r="F56" s="13" t="s">
        <v>321</v>
      </c>
      <c r="G56" s="13" t="s">
        <v>207</v>
      </c>
      <c r="H56" s="13" t="s">
        <v>326</v>
      </c>
      <c r="I56" s="13" t="s">
        <v>202</v>
      </c>
      <c r="J56" s="13" t="s">
        <v>202</v>
      </c>
      <c r="K56" s="14" t="s">
        <v>44</v>
      </c>
      <c r="L56" s="13" t="s">
        <v>202</v>
      </c>
      <c r="M56" s="14" t="s">
        <v>44</v>
      </c>
    </row>
    <row r="57" customFormat="false" ht="15" hidden="false" customHeight="false" outlineLevel="0" collapsed="false">
      <c r="A57" s="13" t="s">
        <v>327</v>
      </c>
      <c r="B57" s="13" t="s">
        <v>244</v>
      </c>
      <c r="C57" s="13" t="s">
        <v>245</v>
      </c>
      <c r="D57" s="13" t="s">
        <v>328</v>
      </c>
      <c r="E57" s="13" t="s">
        <v>329</v>
      </c>
      <c r="F57" s="13" t="s">
        <v>330</v>
      </c>
      <c r="G57" s="13" t="s">
        <v>41</v>
      </c>
      <c r="H57" s="13" t="s">
        <v>331</v>
      </c>
      <c r="I57" s="13" t="s">
        <v>202</v>
      </c>
      <c r="J57" s="13" t="s">
        <v>202</v>
      </c>
      <c r="K57" s="14" t="s">
        <v>44</v>
      </c>
      <c r="L57" s="13" t="s">
        <v>202</v>
      </c>
      <c r="M57" s="14" t="s">
        <v>44</v>
      </c>
    </row>
    <row r="58" customFormat="false" ht="23.85" hidden="false" customHeight="false" outlineLevel="0" collapsed="false">
      <c r="A58" s="13" t="s">
        <v>332</v>
      </c>
      <c r="B58" s="13" t="s">
        <v>333</v>
      </c>
      <c r="C58" s="13" t="s">
        <v>334</v>
      </c>
      <c r="D58" s="13" t="s">
        <v>335</v>
      </c>
      <c r="E58" s="13" t="s">
        <v>336</v>
      </c>
      <c r="F58" s="13" t="s">
        <v>337</v>
      </c>
      <c r="G58" s="13" t="s">
        <v>60</v>
      </c>
      <c r="H58" s="13" t="s">
        <v>338</v>
      </c>
      <c r="I58" s="13" t="s">
        <v>339</v>
      </c>
      <c r="J58" s="13" t="s">
        <v>339</v>
      </c>
      <c r="K58" s="14" t="s">
        <v>44</v>
      </c>
      <c r="L58" s="13" t="s">
        <v>339</v>
      </c>
      <c r="M58" s="14" t="s">
        <v>44</v>
      </c>
    </row>
    <row r="59" customFormat="false" ht="23.85" hidden="false" customHeight="false" outlineLevel="0" collapsed="false">
      <c r="A59" s="13" t="s">
        <v>340</v>
      </c>
      <c r="B59" s="13" t="s">
        <v>333</v>
      </c>
      <c r="C59" s="13" t="s">
        <v>334</v>
      </c>
      <c r="D59" s="13" t="s">
        <v>341</v>
      </c>
      <c r="E59" s="13" t="s">
        <v>342</v>
      </c>
      <c r="F59" s="13" t="s">
        <v>343</v>
      </c>
      <c r="G59" s="13" t="s">
        <v>155</v>
      </c>
      <c r="H59" s="13" t="s">
        <v>344</v>
      </c>
      <c r="I59" s="13" t="s">
        <v>345</v>
      </c>
      <c r="J59" s="13" t="s">
        <v>345</v>
      </c>
      <c r="K59" s="14" t="s">
        <v>44</v>
      </c>
      <c r="L59" s="13" t="s">
        <v>345</v>
      </c>
      <c r="M59" s="14" t="s">
        <v>44</v>
      </c>
    </row>
    <row r="60" customFormat="false" ht="23.85" hidden="false" customHeight="false" outlineLevel="0" collapsed="false">
      <c r="A60" s="13" t="s">
        <v>346</v>
      </c>
      <c r="B60" s="13" t="s">
        <v>333</v>
      </c>
      <c r="C60" s="13" t="s">
        <v>334</v>
      </c>
      <c r="D60" s="13" t="s">
        <v>347</v>
      </c>
      <c r="E60" s="13" t="s">
        <v>348</v>
      </c>
      <c r="F60" s="13" t="s">
        <v>349</v>
      </c>
      <c r="G60" s="13" t="s">
        <v>155</v>
      </c>
      <c r="H60" s="13" t="s">
        <v>350</v>
      </c>
      <c r="I60" s="13" t="s">
        <v>351</v>
      </c>
      <c r="J60" s="13" t="s">
        <v>351</v>
      </c>
      <c r="K60" s="14" t="s">
        <v>44</v>
      </c>
      <c r="L60" s="13" t="s">
        <v>351</v>
      </c>
      <c r="M60" s="14" t="s">
        <v>44</v>
      </c>
    </row>
    <row r="61" customFormat="false" ht="23.85" hidden="false" customHeight="false" outlineLevel="0" collapsed="false">
      <c r="A61" s="13" t="s">
        <v>352</v>
      </c>
      <c r="B61" s="13" t="s">
        <v>333</v>
      </c>
      <c r="C61" s="13" t="s">
        <v>334</v>
      </c>
      <c r="D61" s="13" t="s">
        <v>353</v>
      </c>
      <c r="E61" s="13" t="s">
        <v>354</v>
      </c>
      <c r="F61" s="13" t="s">
        <v>355</v>
      </c>
      <c r="G61" s="13" t="s">
        <v>207</v>
      </c>
      <c r="H61" s="13" t="s">
        <v>356</v>
      </c>
      <c r="I61" s="13" t="s">
        <v>345</v>
      </c>
      <c r="J61" s="13" t="s">
        <v>345</v>
      </c>
      <c r="K61" s="14" t="s">
        <v>44</v>
      </c>
      <c r="L61" s="13" t="s">
        <v>345</v>
      </c>
      <c r="M61" s="14" t="s">
        <v>44</v>
      </c>
    </row>
    <row r="62" customFormat="false" ht="35.05" hidden="false" customHeight="false" outlineLevel="0" collapsed="false">
      <c r="A62" s="13" t="s">
        <v>357</v>
      </c>
      <c r="B62" s="13" t="s">
        <v>333</v>
      </c>
      <c r="C62" s="13" t="s">
        <v>334</v>
      </c>
      <c r="D62" s="13" t="s">
        <v>358</v>
      </c>
      <c r="E62" s="13" t="s">
        <v>359</v>
      </c>
      <c r="F62" s="13" t="s">
        <v>360</v>
      </c>
      <c r="G62" s="13" t="s">
        <v>155</v>
      </c>
      <c r="H62" s="13" t="s">
        <v>361</v>
      </c>
      <c r="I62" s="13" t="s">
        <v>362</v>
      </c>
      <c r="J62" s="13" t="s">
        <v>362</v>
      </c>
      <c r="K62" s="14" t="s">
        <v>44</v>
      </c>
      <c r="L62" s="13" t="s">
        <v>362</v>
      </c>
      <c r="M62" s="14" t="s">
        <v>44</v>
      </c>
    </row>
    <row r="63" customFormat="false" ht="23.85" hidden="false" customHeight="false" outlineLevel="0" collapsed="false">
      <c r="A63" s="13" t="s">
        <v>363</v>
      </c>
      <c r="B63" s="13" t="s">
        <v>333</v>
      </c>
      <c r="C63" s="13" t="s">
        <v>334</v>
      </c>
      <c r="D63" s="13" t="s">
        <v>364</v>
      </c>
      <c r="E63" s="13" t="s">
        <v>365</v>
      </c>
      <c r="F63" s="13" t="s">
        <v>366</v>
      </c>
      <c r="G63" s="13" t="s">
        <v>200</v>
      </c>
      <c r="H63" s="13" t="s">
        <v>367</v>
      </c>
      <c r="I63" s="13" t="s">
        <v>368</v>
      </c>
      <c r="J63" s="13" t="s">
        <v>368</v>
      </c>
      <c r="K63" s="14" t="s">
        <v>44</v>
      </c>
      <c r="L63" s="13" t="s">
        <v>368</v>
      </c>
      <c r="M63" s="14" t="s">
        <v>44</v>
      </c>
    </row>
    <row r="64" customFormat="false" ht="23.85" hidden="false" customHeight="false" outlineLevel="0" collapsed="false">
      <c r="A64" s="13" t="s">
        <v>369</v>
      </c>
      <c r="B64" s="13" t="s">
        <v>333</v>
      </c>
      <c r="C64" s="13" t="s">
        <v>334</v>
      </c>
      <c r="D64" s="13" t="s">
        <v>370</v>
      </c>
      <c r="E64" s="13" t="s">
        <v>371</v>
      </c>
      <c r="F64" s="13" t="s">
        <v>372</v>
      </c>
      <c r="G64" s="13" t="s">
        <v>207</v>
      </c>
      <c r="H64" s="13" t="s">
        <v>373</v>
      </c>
      <c r="I64" s="13" t="s">
        <v>368</v>
      </c>
      <c r="J64" s="13" t="s">
        <v>368</v>
      </c>
      <c r="K64" s="14" t="s">
        <v>44</v>
      </c>
      <c r="L64" s="13" t="s">
        <v>368</v>
      </c>
      <c r="M64" s="14" t="s">
        <v>44</v>
      </c>
    </row>
    <row r="65" customFormat="false" ht="23.85" hidden="false" customHeight="false" outlineLevel="0" collapsed="false">
      <c r="A65" s="13" t="s">
        <v>374</v>
      </c>
      <c r="B65" s="13" t="s">
        <v>333</v>
      </c>
      <c r="C65" s="13" t="s">
        <v>334</v>
      </c>
      <c r="D65" s="13" t="s">
        <v>375</v>
      </c>
      <c r="E65" s="13" t="s">
        <v>376</v>
      </c>
      <c r="F65" s="13" t="s">
        <v>377</v>
      </c>
      <c r="G65" s="13" t="s">
        <v>233</v>
      </c>
      <c r="H65" s="13" t="s">
        <v>378</v>
      </c>
      <c r="I65" s="13" t="s">
        <v>345</v>
      </c>
      <c r="J65" s="13" t="s">
        <v>345</v>
      </c>
      <c r="K65" s="14" t="s">
        <v>44</v>
      </c>
      <c r="L65" s="13" t="s">
        <v>345</v>
      </c>
      <c r="M65" s="14" t="s">
        <v>44</v>
      </c>
    </row>
    <row r="66" customFormat="false" ht="23.85" hidden="false" customHeight="false" outlineLevel="0" collapsed="false">
      <c r="A66" s="13" t="s">
        <v>379</v>
      </c>
      <c r="B66" s="13" t="s">
        <v>333</v>
      </c>
      <c r="C66" s="13" t="s">
        <v>334</v>
      </c>
      <c r="D66" s="13" t="s">
        <v>380</v>
      </c>
      <c r="E66" s="13" t="s">
        <v>381</v>
      </c>
      <c r="F66" s="13" t="s">
        <v>382</v>
      </c>
      <c r="G66" s="13" t="s">
        <v>207</v>
      </c>
      <c r="H66" s="13" t="s">
        <v>383</v>
      </c>
      <c r="I66" s="13" t="s">
        <v>368</v>
      </c>
      <c r="J66" s="13" t="s">
        <v>368</v>
      </c>
      <c r="K66" s="14" t="s">
        <v>44</v>
      </c>
      <c r="L66" s="13" t="s">
        <v>368</v>
      </c>
      <c r="M66" s="14" t="s">
        <v>44</v>
      </c>
    </row>
    <row r="67" customFormat="false" ht="23.85" hidden="false" customHeight="false" outlineLevel="0" collapsed="false">
      <c r="A67" s="13" t="s">
        <v>384</v>
      </c>
      <c r="B67" s="13" t="s">
        <v>333</v>
      </c>
      <c r="C67" s="13" t="s">
        <v>334</v>
      </c>
      <c r="D67" s="13" t="s">
        <v>385</v>
      </c>
      <c r="E67" s="13" t="s">
        <v>386</v>
      </c>
      <c r="F67" s="13" t="s">
        <v>387</v>
      </c>
      <c r="G67" s="13" t="s">
        <v>200</v>
      </c>
      <c r="H67" s="13" t="s">
        <v>388</v>
      </c>
      <c r="I67" s="13" t="s">
        <v>389</v>
      </c>
      <c r="J67" s="13" t="s">
        <v>389</v>
      </c>
      <c r="K67" s="14" t="s">
        <v>44</v>
      </c>
      <c r="L67" s="13" t="s">
        <v>389</v>
      </c>
      <c r="M67" s="14" t="s">
        <v>44</v>
      </c>
    </row>
    <row r="68" customFormat="false" ht="23.85" hidden="false" customHeight="false" outlineLevel="0" collapsed="false">
      <c r="A68" s="13" t="s">
        <v>390</v>
      </c>
      <c r="B68" s="13" t="s">
        <v>333</v>
      </c>
      <c r="C68" s="13" t="s">
        <v>334</v>
      </c>
      <c r="D68" s="13" t="s">
        <v>391</v>
      </c>
      <c r="E68" s="13" t="s">
        <v>392</v>
      </c>
      <c r="F68" s="13" t="s">
        <v>393</v>
      </c>
      <c r="G68" s="13" t="s">
        <v>394</v>
      </c>
      <c r="H68" s="13" t="s">
        <v>395</v>
      </c>
      <c r="I68" s="13" t="s">
        <v>389</v>
      </c>
      <c r="J68" s="13" t="s">
        <v>389</v>
      </c>
      <c r="K68" s="14" t="s">
        <v>44</v>
      </c>
      <c r="L68" s="13" t="s">
        <v>389</v>
      </c>
      <c r="M68" s="14" t="s">
        <v>44</v>
      </c>
    </row>
    <row r="69" customFormat="false" ht="23.85" hidden="false" customHeight="false" outlineLevel="0" collapsed="false">
      <c r="A69" s="13" t="s">
        <v>396</v>
      </c>
      <c r="B69" s="13" t="s">
        <v>333</v>
      </c>
      <c r="C69" s="13" t="s">
        <v>334</v>
      </c>
      <c r="D69" s="13" t="s">
        <v>397</v>
      </c>
      <c r="E69" s="13" t="s">
        <v>398</v>
      </c>
      <c r="F69" s="13" t="s">
        <v>399</v>
      </c>
      <c r="G69" s="13" t="s">
        <v>67</v>
      </c>
      <c r="H69" s="13" t="s">
        <v>400</v>
      </c>
      <c r="I69" s="13" t="s">
        <v>401</v>
      </c>
      <c r="J69" s="13" t="s">
        <v>401</v>
      </c>
      <c r="K69" s="14" t="s">
        <v>44</v>
      </c>
      <c r="L69" s="13" t="s">
        <v>401</v>
      </c>
      <c r="M69" s="14" t="s">
        <v>44</v>
      </c>
    </row>
    <row r="70" customFormat="false" ht="46.25" hidden="false" customHeight="false" outlineLevel="0" collapsed="false">
      <c r="A70" s="13" t="s">
        <v>402</v>
      </c>
      <c r="B70" s="13" t="s">
        <v>333</v>
      </c>
      <c r="C70" s="13" t="s">
        <v>334</v>
      </c>
      <c r="D70" s="13" t="s">
        <v>403</v>
      </c>
      <c r="E70" s="13" t="s">
        <v>404</v>
      </c>
      <c r="F70" s="13" t="s">
        <v>405</v>
      </c>
      <c r="G70" s="13" t="s">
        <v>60</v>
      </c>
      <c r="H70" s="13" t="s">
        <v>406</v>
      </c>
      <c r="I70" s="13" t="s">
        <v>407</v>
      </c>
      <c r="J70" s="13" t="s">
        <v>407</v>
      </c>
      <c r="K70" s="14" t="s">
        <v>44</v>
      </c>
      <c r="L70" s="13" t="s">
        <v>407</v>
      </c>
      <c r="M70" s="14" t="s">
        <v>44</v>
      </c>
    </row>
    <row r="71" customFormat="false" ht="35.05" hidden="false" customHeight="false" outlineLevel="0" collapsed="false">
      <c r="A71" s="13" t="s">
        <v>408</v>
      </c>
      <c r="B71" s="13" t="s">
        <v>333</v>
      </c>
      <c r="C71" s="13" t="s">
        <v>334</v>
      </c>
      <c r="D71" s="13" t="s">
        <v>409</v>
      </c>
      <c r="E71" s="13" t="s">
        <v>410</v>
      </c>
      <c r="F71" s="13" t="s">
        <v>411</v>
      </c>
      <c r="G71" s="13" t="s">
        <v>67</v>
      </c>
      <c r="H71" s="13" t="s">
        <v>412</v>
      </c>
      <c r="I71" s="13" t="s">
        <v>413</v>
      </c>
      <c r="J71" s="13" t="s">
        <v>413</v>
      </c>
      <c r="K71" s="14" t="s">
        <v>44</v>
      </c>
      <c r="L71" s="13" t="s">
        <v>413</v>
      </c>
      <c r="M71" s="14" t="s">
        <v>44</v>
      </c>
    </row>
    <row r="72" customFormat="false" ht="46.25" hidden="false" customHeight="false" outlineLevel="0" collapsed="false">
      <c r="A72" s="13" t="s">
        <v>414</v>
      </c>
      <c r="B72" s="13" t="s">
        <v>333</v>
      </c>
      <c r="C72" s="13" t="s">
        <v>334</v>
      </c>
      <c r="D72" s="13" t="s">
        <v>415</v>
      </c>
      <c r="E72" s="13" t="s">
        <v>416</v>
      </c>
      <c r="F72" s="13" t="s">
        <v>417</v>
      </c>
      <c r="G72" s="13" t="s">
        <v>67</v>
      </c>
      <c r="H72" s="13" t="s">
        <v>418</v>
      </c>
      <c r="I72" s="13" t="s">
        <v>419</v>
      </c>
      <c r="J72" s="13" t="s">
        <v>419</v>
      </c>
      <c r="K72" s="14" t="s">
        <v>44</v>
      </c>
      <c r="L72" s="13" t="s">
        <v>419</v>
      </c>
      <c r="M72" s="14" t="s">
        <v>44</v>
      </c>
    </row>
    <row r="73" customFormat="false" ht="23.85" hidden="false" customHeight="false" outlineLevel="0" collapsed="false">
      <c r="A73" s="13" t="s">
        <v>420</v>
      </c>
      <c r="B73" s="13" t="s">
        <v>333</v>
      </c>
      <c r="C73" s="13" t="s">
        <v>334</v>
      </c>
      <c r="D73" s="13" t="s">
        <v>421</v>
      </c>
      <c r="E73" s="13" t="s">
        <v>422</v>
      </c>
      <c r="F73" s="13" t="s">
        <v>423</v>
      </c>
      <c r="G73" s="13" t="s">
        <v>67</v>
      </c>
      <c r="H73" s="13" t="s">
        <v>424</v>
      </c>
      <c r="I73" s="13" t="s">
        <v>368</v>
      </c>
      <c r="J73" s="13" t="s">
        <v>368</v>
      </c>
      <c r="K73" s="14" t="s">
        <v>44</v>
      </c>
      <c r="L73" s="13" t="s">
        <v>368</v>
      </c>
      <c r="M73" s="14" t="s">
        <v>44</v>
      </c>
    </row>
  </sheetData>
  <autoFilter ref="A1:M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50"/>
    <col collapsed="false" customWidth="true" hidden="false" outlineLevel="0" max="6" min="6" style="0" width="40"/>
    <col collapsed="false" customWidth="true" hidden="false" outlineLevel="0" max="8" min="7" style="0" width="30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10"/>
  </cols>
  <sheetData>
    <row r="1" customFormat="false" ht="35.05" hidden="false" customHeight="false" outlineLevel="0" collapsed="false">
      <c r="A1" s="12" t="s">
        <v>22</v>
      </c>
      <c r="B1" s="12" t="s">
        <v>425</v>
      </c>
      <c r="C1" s="12" t="s">
        <v>426</v>
      </c>
      <c r="D1" s="12" t="s">
        <v>427</v>
      </c>
      <c r="E1" s="12" t="s">
        <v>25</v>
      </c>
      <c r="F1" s="12" t="s">
        <v>26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</row>
    <row r="2" customFormat="false" ht="23.85" hidden="false" customHeight="false" outlineLevel="0" collapsed="false">
      <c r="A2" s="13" t="s">
        <v>428</v>
      </c>
      <c r="B2" s="13" t="s">
        <v>429</v>
      </c>
      <c r="C2" s="13" t="s">
        <v>430</v>
      </c>
      <c r="D2" s="13" t="s">
        <v>431</v>
      </c>
      <c r="E2" s="13" t="s">
        <v>432</v>
      </c>
      <c r="F2" s="13" t="s">
        <v>433</v>
      </c>
      <c r="G2" s="13" t="s">
        <v>434</v>
      </c>
      <c r="H2" s="13" t="s">
        <v>434</v>
      </c>
      <c r="I2" s="14" t="s">
        <v>44</v>
      </c>
      <c r="J2" s="13" t="s">
        <v>434</v>
      </c>
      <c r="K2" s="14" t="s">
        <v>44</v>
      </c>
    </row>
    <row r="3" customFormat="false" ht="23.85" hidden="false" customHeight="false" outlineLevel="0" collapsed="false">
      <c r="A3" s="13" t="s">
        <v>435</v>
      </c>
      <c r="B3" s="13" t="s">
        <v>429</v>
      </c>
      <c r="C3" s="13" t="s">
        <v>430</v>
      </c>
      <c r="D3" s="13" t="s">
        <v>431</v>
      </c>
      <c r="E3" s="13" t="s">
        <v>436</v>
      </c>
      <c r="F3" s="13" t="s">
        <v>437</v>
      </c>
      <c r="G3" s="13" t="s">
        <v>438</v>
      </c>
      <c r="H3" s="13" t="s">
        <v>438</v>
      </c>
      <c r="I3" s="14" t="s">
        <v>44</v>
      </c>
      <c r="J3" s="13" t="s">
        <v>438</v>
      </c>
      <c r="K3" s="14" t="s">
        <v>44</v>
      </c>
    </row>
    <row r="4" customFormat="false" ht="23.85" hidden="false" customHeight="false" outlineLevel="0" collapsed="false">
      <c r="A4" s="13" t="s">
        <v>439</v>
      </c>
      <c r="B4" s="13" t="s">
        <v>429</v>
      </c>
      <c r="C4" s="13" t="s">
        <v>430</v>
      </c>
      <c r="D4" s="13" t="s">
        <v>431</v>
      </c>
      <c r="E4" s="13" t="s">
        <v>440</v>
      </c>
      <c r="F4" s="13" t="s">
        <v>441</v>
      </c>
      <c r="G4" s="13" t="s">
        <v>442</v>
      </c>
      <c r="H4" s="13" t="s">
        <v>442</v>
      </c>
      <c r="I4" s="14" t="s">
        <v>44</v>
      </c>
      <c r="J4" s="13" t="s">
        <v>442</v>
      </c>
      <c r="K4" s="14" t="s">
        <v>44</v>
      </c>
    </row>
    <row r="5" customFormat="false" ht="23.85" hidden="false" customHeight="false" outlineLevel="0" collapsed="false">
      <c r="A5" s="13" t="s">
        <v>443</v>
      </c>
      <c r="B5" s="13" t="s">
        <v>429</v>
      </c>
      <c r="C5" s="13" t="s">
        <v>430</v>
      </c>
      <c r="D5" s="13" t="s">
        <v>431</v>
      </c>
      <c r="E5" s="13" t="s">
        <v>444</v>
      </c>
      <c r="F5" s="13" t="s">
        <v>445</v>
      </c>
      <c r="G5" s="13" t="s">
        <v>136</v>
      </c>
      <c r="H5" s="13" t="s">
        <v>136</v>
      </c>
      <c r="I5" s="14" t="s">
        <v>44</v>
      </c>
      <c r="J5" s="13" t="s">
        <v>136</v>
      </c>
      <c r="K5" s="14" t="s">
        <v>44</v>
      </c>
    </row>
    <row r="6" customFormat="false" ht="23.85" hidden="false" customHeight="false" outlineLevel="0" collapsed="false">
      <c r="A6" s="13" t="s">
        <v>446</v>
      </c>
      <c r="B6" s="13" t="s">
        <v>429</v>
      </c>
      <c r="C6" s="13" t="s">
        <v>430</v>
      </c>
      <c r="D6" s="13" t="s">
        <v>431</v>
      </c>
      <c r="E6" s="13" t="s">
        <v>447</v>
      </c>
      <c r="F6" s="13" t="s">
        <v>448</v>
      </c>
      <c r="G6" s="13" t="s">
        <v>449</v>
      </c>
      <c r="H6" s="13" t="s">
        <v>449</v>
      </c>
      <c r="I6" s="14" t="s">
        <v>44</v>
      </c>
      <c r="J6" s="13" t="s">
        <v>449</v>
      </c>
      <c r="K6" s="14" t="s">
        <v>44</v>
      </c>
    </row>
    <row r="7" customFormat="false" ht="23.85" hidden="false" customHeight="false" outlineLevel="0" collapsed="false">
      <c r="A7" s="13" t="s">
        <v>450</v>
      </c>
      <c r="B7" s="13" t="s">
        <v>429</v>
      </c>
      <c r="C7" s="13" t="s">
        <v>430</v>
      </c>
      <c r="D7" s="13" t="s">
        <v>431</v>
      </c>
      <c r="E7" s="13" t="s">
        <v>451</v>
      </c>
      <c r="F7" s="13" t="s">
        <v>452</v>
      </c>
      <c r="G7" s="13" t="s">
        <v>453</v>
      </c>
      <c r="H7" s="13" t="s">
        <v>453</v>
      </c>
      <c r="I7" s="14" t="s">
        <v>44</v>
      </c>
      <c r="J7" s="13" t="s">
        <v>453</v>
      </c>
      <c r="K7" s="14" t="s">
        <v>44</v>
      </c>
    </row>
    <row r="8" customFormat="false" ht="23.85" hidden="false" customHeight="false" outlineLevel="0" collapsed="false">
      <c r="A8" s="13" t="s">
        <v>454</v>
      </c>
      <c r="B8" s="13" t="s">
        <v>429</v>
      </c>
      <c r="C8" s="13" t="s">
        <v>430</v>
      </c>
      <c r="D8" s="13" t="s">
        <v>431</v>
      </c>
      <c r="E8" s="13" t="s">
        <v>455</v>
      </c>
      <c r="F8" s="13" t="s">
        <v>456</v>
      </c>
      <c r="G8" s="13" t="s">
        <v>143</v>
      </c>
      <c r="H8" s="13" t="s">
        <v>143</v>
      </c>
      <c r="I8" s="14" t="s">
        <v>44</v>
      </c>
      <c r="J8" s="13" t="s">
        <v>143</v>
      </c>
      <c r="K8" s="14" t="s">
        <v>44</v>
      </c>
    </row>
    <row r="9" customFormat="false" ht="23.85" hidden="false" customHeight="false" outlineLevel="0" collapsed="false">
      <c r="A9" s="13" t="s">
        <v>457</v>
      </c>
      <c r="B9" s="13" t="s">
        <v>429</v>
      </c>
      <c r="C9" s="13" t="s">
        <v>458</v>
      </c>
      <c r="D9" s="13" t="s">
        <v>459</v>
      </c>
      <c r="E9" s="13" t="s">
        <v>460</v>
      </c>
      <c r="F9" s="13" t="s">
        <v>461</v>
      </c>
      <c r="G9" s="13" t="s">
        <v>462</v>
      </c>
      <c r="H9" s="13" t="s">
        <v>462</v>
      </c>
      <c r="I9" s="14" t="s">
        <v>44</v>
      </c>
      <c r="J9" s="13" t="s">
        <v>462</v>
      </c>
      <c r="K9" s="14" t="s">
        <v>44</v>
      </c>
    </row>
    <row r="10" customFormat="false" ht="23.85" hidden="false" customHeight="false" outlineLevel="0" collapsed="false">
      <c r="A10" s="13" t="s">
        <v>463</v>
      </c>
      <c r="B10" s="13" t="s">
        <v>429</v>
      </c>
      <c r="C10" s="13" t="s">
        <v>458</v>
      </c>
      <c r="D10" s="13" t="s">
        <v>459</v>
      </c>
      <c r="E10" s="13" t="s">
        <v>464</v>
      </c>
      <c r="F10" s="13" t="s">
        <v>465</v>
      </c>
      <c r="G10" s="13" t="s">
        <v>466</v>
      </c>
      <c r="H10" s="13" t="s">
        <v>466</v>
      </c>
      <c r="I10" s="14" t="s">
        <v>44</v>
      </c>
      <c r="J10" s="13" t="s">
        <v>466</v>
      </c>
      <c r="K10" s="14" t="s">
        <v>44</v>
      </c>
    </row>
    <row r="11" customFormat="false" ht="23.85" hidden="false" customHeight="false" outlineLevel="0" collapsed="false">
      <c r="A11" s="13" t="s">
        <v>467</v>
      </c>
      <c r="B11" s="13" t="s">
        <v>429</v>
      </c>
      <c r="C11" s="13" t="s">
        <v>458</v>
      </c>
      <c r="D11" s="13" t="s">
        <v>459</v>
      </c>
      <c r="E11" s="13" t="s">
        <v>468</v>
      </c>
      <c r="F11" s="13" t="s">
        <v>469</v>
      </c>
      <c r="G11" s="13" t="s">
        <v>470</v>
      </c>
      <c r="H11" s="13" t="s">
        <v>470</v>
      </c>
      <c r="I11" s="14" t="s">
        <v>44</v>
      </c>
      <c r="J11" s="13" t="s">
        <v>470</v>
      </c>
      <c r="K11" s="14" t="s">
        <v>44</v>
      </c>
    </row>
    <row r="12" customFormat="false" ht="23.85" hidden="false" customHeight="false" outlineLevel="0" collapsed="false">
      <c r="A12" s="13" t="s">
        <v>471</v>
      </c>
      <c r="B12" s="13" t="s">
        <v>429</v>
      </c>
      <c r="C12" s="13" t="s">
        <v>458</v>
      </c>
      <c r="D12" s="13" t="s">
        <v>459</v>
      </c>
      <c r="E12" s="13" t="s">
        <v>472</v>
      </c>
      <c r="F12" s="13" t="s">
        <v>473</v>
      </c>
      <c r="G12" s="13" t="s">
        <v>462</v>
      </c>
      <c r="H12" s="13" t="s">
        <v>462</v>
      </c>
      <c r="I12" s="14" t="s">
        <v>44</v>
      </c>
      <c r="J12" s="13" t="s">
        <v>462</v>
      </c>
      <c r="K12" s="14" t="s">
        <v>44</v>
      </c>
    </row>
    <row r="13" customFormat="false" ht="15" hidden="false" customHeight="false" outlineLevel="0" collapsed="false">
      <c r="A13" s="13" t="s">
        <v>474</v>
      </c>
      <c r="B13" s="13" t="s">
        <v>429</v>
      </c>
      <c r="C13" s="13" t="s">
        <v>458</v>
      </c>
      <c r="D13" s="13" t="s">
        <v>475</v>
      </c>
      <c r="E13" s="13" t="s">
        <v>476</v>
      </c>
      <c r="F13" s="13" t="s">
        <v>477</v>
      </c>
      <c r="G13" s="13" t="s">
        <v>229</v>
      </c>
      <c r="H13" s="13" t="s">
        <v>229</v>
      </c>
      <c r="I13" s="14" t="s">
        <v>44</v>
      </c>
      <c r="J13" s="13" t="s">
        <v>229</v>
      </c>
      <c r="K13" s="14" t="s">
        <v>44</v>
      </c>
    </row>
    <row r="14" customFormat="false" ht="15" hidden="false" customHeight="false" outlineLevel="0" collapsed="false">
      <c r="A14" s="13" t="s">
        <v>478</v>
      </c>
      <c r="B14" s="13" t="s">
        <v>429</v>
      </c>
      <c r="C14" s="13" t="s">
        <v>458</v>
      </c>
      <c r="D14" s="13" t="s">
        <v>479</v>
      </c>
      <c r="E14" s="13" t="s">
        <v>480</v>
      </c>
      <c r="F14" s="13" t="s">
        <v>481</v>
      </c>
      <c r="G14" s="13" t="s">
        <v>202</v>
      </c>
      <c r="H14" s="13" t="s">
        <v>202</v>
      </c>
      <c r="I14" s="14" t="s">
        <v>44</v>
      </c>
      <c r="J14" s="13" t="s">
        <v>202</v>
      </c>
      <c r="K14" s="14" t="s">
        <v>44</v>
      </c>
    </row>
    <row r="15" customFormat="false" ht="23.85" hidden="false" customHeight="false" outlineLevel="0" collapsed="false">
      <c r="A15" s="13" t="s">
        <v>482</v>
      </c>
      <c r="B15" s="13" t="s">
        <v>429</v>
      </c>
      <c r="C15" s="13" t="s">
        <v>458</v>
      </c>
      <c r="D15" s="13" t="s">
        <v>483</v>
      </c>
      <c r="E15" s="13" t="s">
        <v>484</v>
      </c>
      <c r="F15" s="13" t="s">
        <v>485</v>
      </c>
      <c r="G15" s="13" t="s">
        <v>202</v>
      </c>
      <c r="H15" s="13" t="s">
        <v>202</v>
      </c>
      <c r="I15" s="14" t="s">
        <v>44</v>
      </c>
      <c r="J15" s="13" t="s">
        <v>202</v>
      </c>
      <c r="K15" s="14" t="s">
        <v>44</v>
      </c>
    </row>
    <row r="16" customFormat="false" ht="15" hidden="false" customHeight="false" outlineLevel="0" collapsed="false">
      <c r="A16" s="13" t="s">
        <v>486</v>
      </c>
      <c r="B16" s="13" t="s">
        <v>429</v>
      </c>
      <c r="C16" s="13" t="s">
        <v>487</v>
      </c>
      <c r="D16" s="13" t="s">
        <v>488</v>
      </c>
      <c r="E16" s="13" t="s">
        <v>489</v>
      </c>
      <c r="F16" s="13" t="s">
        <v>490</v>
      </c>
      <c r="G16" s="13" t="s">
        <v>491</v>
      </c>
      <c r="H16" s="13" t="s">
        <v>491</v>
      </c>
      <c r="I16" s="14" t="s">
        <v>44</v>
      </c>
      <c r="J16" s="13" t="s">
        <v>491</v>
      </c>
      <c r="K16" s="14" t="s">
        <v>44</v>
      </c>
    </row>
    <row r="17" customFormat="false" ht="15" hidden="false" customHeight="false" outlineLevel="0" collapsed="false">
      <c r="A17" s="13" t="s">
        <v>492</v>
      </c>
      <c r="B17" s="13" t="s">
        <v>429</v>
      </c>
      <c r="C17" s="13" t="s">
        <v>487</v>
      </c>
      <c r="D17" s="13" t="s">
        <v>493</v>
      </c>
      <c r="E17" s="13" t="s">
        <v>494</v>
      </c>
      <c r="F17" s="13" t="s">
        <v>495</v>
      </c>
      <c r="G17" s="13" t="s">
        <v>496</v>
      </c>
      <c r="H17" s="13" t="s">
        <v>496</v>
      </c>
      <c r="I17" s="14" t="s">
        <v>44</v>
      </c>
      <c r="J17" s="13" t="s">
        <v>496</v>
      </c>
      <c r="K17" s="14" t="s">
        <v>44</v>
      </c>
    </row>
    <row r="18" customFormat="false" ht="23.85" hidden="false" customHeight="false" outlineLevel="0" collapsed="false">
      <c r="A18" s="13" t="s">
        <v>497</v>
      </c>
      <c r="B18" s="13" t="s">
        <v>429</v>
      </c>
      <c r="C18" s="13" t="s">
        <v>487</v>
      </c>
      <c r="D18" s="13" t="s">
        <v>498</v>
      </c>
      <c r="E18" s="13" t="s">
        <v>499</v>
      </c>
      <c r="F18" s="13" t="s">
        <v>500</v>
      </c>
      <c r="G18" s="13" t="s">
        <v>501</v>
      </c>
      <c r="H18" s="13" t="s">
        <v>501</v>
      </c>
      <c r="I18" s="14" t="s">
        <v>44</v>
      </c>
      <c r="J18" s="13" t="s">
        <v>501</v>
      </c>
      <c r="K18" s="14" t="s">
        <v>44</v>
      </c>
    </row>
    <row r="19" customFormat="false" ht="23.85" hidden="false" customHeight="false" outlineLevel="0" collapsed="false">
      <c r="A19" s="13" t="s">
        <v>502</v>
      </c>
      <c r="B19" s="13" t="s">
        <v>429</v>
      </c>
      <c r="C19" s="13" t="s">
        <v>430</v>
      </c>
      <c r="D19" s="13" t="s">
        <v>503</v>
      </c>
      <c r="E19" s="13" t="s">
        <v>504</v>
      </c>
      <c r="F19" s="13" t="s">
        <v>505</v>
      </c>
      <c r="G19" s="13" t="s">
        <v>506</v>
      </c>
      <c r="H19" s="13" t="s">
        <v>506</v>
      </c>
      <c r="I19" s="14" t="s">
        <v>44</v>
      </c>
      <c r="J19" s="13" t="s">
        <v>506</v>
      </c>
      <c r="K19" s="14" t="s">
        <v>44</v>
      </c>
    </row>
    <row r="20" customFormat="false" ht="23.85" hidden="false" customHeight="false" outlineLevel="0" collapsed="false">
      <c r="A20" s="13" t="s">
        <v>507</v>
      </c>
      <c r="B20" s="13" t="s">
        <v>429</v>
      </c>
      <c r="C20" s="13" t="s">
        <v>458</v>
      </c>
      <c r="D20" s="13" t="s">
        <v>508</v>
      </c>
      <c r="E20" s="13" t="s">
        <v>509</v>
      </c>
      <c r="F20" s="13" t="s">
        <v>510</v>
      </c>
      <c r="G20" s="13" t="s">
        <v>511</v>
      </c>
      <c r="H20" s="13" t="s">
        <v>511</v>
      </c>
      <c r="I20" s="14" t="s">
        <v>44</v>
      </c>
      <c r="J20" s="13" t="s">
        <v>511</v>
      </c>
      <c r="K20" s="14" t="s">
        <v>44</v>
      </c>
    </row>
    <row r="21" customFormat="false" ht="35.05" hidden="false" customHeight="false" outlineLevel="0" collapsed="false">
      <c r="A21" s="13" t="s">
        <v>512</v>
      </c>
      <c r="B21" s="13" t="s">
        <v>429</v>
      </c>
      <c r="C21" s="13" t="s">
        <v>430</v>
      </c>
      <c r="D21" s="13" t="s">
        <v>513</v>
      </c>
      <c r="E21" s="13" t="s">
        <v>514</v>
      </c>
      <c r="F21" s="13" t="s">
        <v>515</v>
      </c>
      <c r="G21" s="13" t="s">
        <v>516</v>
      </c>
      <c r="H21" s="13" t="s">
        <v>516</v>
      </c>
      <c r="I21" s="14" t="s">
        <v>44</v>
      </c>
      <c r="J21" s="13" t="s">
        <v>516</v>
      </c>
      <c r="K21" s="14" t="s">
        <v>44</v>
      </c>
    </row>
    <row r="22" customFormat="false" ht="23.85" hidden="false" customHeight="false" outlineLevel="0" collapsed="false">
      <c r="A22" s="13" t="s">
        <v>517</v>
      </c>
      <c r="B22" s="13" t="s">
        <v>429</v>
      </c>
      <c r="C22" s="13" t="s">
        <v>430</v>
      </c>
      <c r="D22" s="13" t="s">
        <v>518</v>
      </c>
      <c r="E22" s="13" t="s">
        <v>519</v>
      </c>
      <c r="F22" s="13" t="s">
        <v>520</v>
      </c>
      <c r="G22" s="13" t="s">
        <v>521</v>
      </c>
      <c r="H22" s="13" t="s">
        <v>521</v>
      </c>
      <c r="I22" s="14" t="s">
        <v>44</v>
      </c>
      <c r="J22" s="13" t="s">
        <v>521</v>
      </c>
      <c r="K22" s="14" t="s">
        <v>44</v>
      </c>
    </row>
    <row r="23" customFormat="false" ht="57.45" hidden="false" customHeight="false" outlineLevel="0" collapsed="false">
      <c r="A23" s="13" t="s">
        <v>522</v>
      </c>
      <c r="B23" s="13" t="s">
        <v>429</v>
      </c>
      <c r="C23" s="13" t="s">
        <v>430</v>
      </c>
      <c r="D23" s="13" t="s">
        <v>523</v>
      </c>
      <c r="E23" s="13" t="s">
        <v>524</v>
      </c>
      <c r="F23" s="13" t="s">
        <v>525</v>
      </c>
      <c r="G23" s="13" t="s">
        <v>526</v>
      </c>
      <c r="H23" s="13" t="s">
        <v>526</v>
      </c>
      <c r="I23" s="14" t="s">
        <v>44</v>
      </c>
      <c r="J23" s="13" t="s">
        <v>526</v>
      </c>
      <c r="K23" s="14" t="s">
        <v>44</v>
      </c>
    </row>
    <row r="24" customFormat="false" ht="23.85" hidden="false" customHeight="false" outlineLevel="0" collapsed="false">
      <c r="A24" s="13" t="s">
        <v>527</v>
      </c>
      <c r="B24" s="13" t="s">
        <v>429</v>
      </c>
      <c r="C24" s="13" t="s">
        <v>458</v>
      </c>
      <c r="D24" s="13" t="s">
        <v>528</v>
      </c>
      <c r="E24" s="13" t="s">
        <v>529</v>
      </c>
      <c r="F24" s="13" t="s">
        <v>530</v>
      </c>
      <c r="G24" s="13" t="s">
        <v>531</v>
      </c>
      <c r="H24" s="13" t="s">
        <v>531</v>
      </c>
      <c r="I24" s="14" t="s">
        <v>44</v>
      </c>
      <c r="J24" s="13" t="s">
        <v>531</v>
      </c>
      <c r="K24" s="14" t="s">
        <v>44</v>
      </c>
    </row>
    <row r="25" customFormat="false" ht="35.05" hidden="false" customHeight="false" outlineLevel="0" collapsed="false">
      <c r="A25" s="13" t="s">
        <v>532</v>
      </c>
      <c r="B25" s="13" t="s">
        <v>429</v>
      </c>
      <c r="C25" s="13" t="s">
        <v>430</v>
      </c>
      <c r="D25" s="13" t="s">
        <v>533</v>
      </c>
      <c r="E25" s="13" t="s">
        <v>519</v>
      </c>
      <c r="F25" s="13" t="s">
        <v>534</v>
      </c>
      <c r="G25" s="13" t="s">
        <v>535</v>
      </c>
      <c r="H25" s="13" t="s">
        <v>535</v>
      </c>
      <c r="I25" s="14" t="s">
        <v>44</v>
      </c>
      <c r="J25" s="13" t="s">
        <v>535</v>
      </c>
      <c r="K25" s="14" t="s">
        <v>44</v>
      </c>
    </row>
    <row r="26" customFormat="false" ht="23.85" hidden="false" customHeight="false" outlineLevel="0" collapsed="false">
      <c r="A26" s="13" t="s">
        <v>536</v>
      </c>
      <c r="B26" s="13" t="s">
        <v>429</v>
      </c>
      <c r="C26" s="13" t="s">
        <v>430</v>
      </c>
      <c r="D26" s="13" t="s">
        <v>537</v>
      </c>
      <c r="E26" s="13" t="s">
        <v>538</v>
      </c>
      <c r="F26" s="13" t="s">
        <v>500</v>
      </c>
      <c r="G26" s="13" t="s">
        <v>539</v>
      </c>
      <c r="H26" s="13" t="s">
        <v>539</v>
      </c>
      <c r="I26" s="14" t="s">
        <v>44</v>
      </c>
      <c r="J26" s="13" t="s">
        <v>539</v>
      </c>
      <c r="K26" s="14" t="s">
        <v>44</v>
      </c>
    </row>
    <row r="27" customFormat="false" ht="23.85" hidden="false" customHeight="false" outlineLevel="0" collapsed="false">
      <c r="A27" s="13" t="s">
        <v>540</v>
      </c>
      <c r="B27" s="13" t="s">
        <v>541</v>
      </c>
      <c r="C27" s="13" t="s">
        <v>430</v>
      </c>
      <c r="D27" s="13" t="s">
        <v>542</v>
      </c>
      <c r="E27" s="13" t="s">
        <v>543</v>
      </c>
      <c r="F27" s="13" t="s">
        <v>544</v>
      </c>
      <c r="G27" s="13" t="s">
        <v>545</v>
      </c>
      <c r="H27" s="13" t="s">
        <v>545</v>
      </c>
      <c r="I27" s="14" t="s">
        <v>44</v>
      </c>
      <c r="J27" s="13" t="s">
        <v>545</v>
      </c>
      <c r="K27" s="14" t="s">
        <v>44</v>
      </c>
    </row>
    <row r="28" customFormat="false" ht="23.85" hidden="false" customHeight="false" outlineLevel="0" collapsed="false">
      <c r="A28" s="13" t="s">
        <v>546</v>
      </c>
      <c r="B28" s="13" t="s">
        <v>541</v>
      </c>
      <c r="C28" s="13" t="s">
        <v>458</v>
      </c>
      <c r="D28" s="13" t="s">
        <v>547</v>
      </c>
      <c r="E28" s="13" t="s">
        <v>548</v>
      </c>
      <c r="F28" s="13" t="s">
        <v>549</v>
      </c>
      <c r="G28" s="13" t="s">
        <v>550</v>
      </c>
      <c r="H28" s="13" t="s">
        <v>550</v>
      </c>
      <c r="I28" s="14" t="s">
        <v>44</v>
      </c>
      <c r="J28" s="13" t="s">
        <v>550</v>
      </c>
      <c r="K28" s="14" t="s">
        <v>44</v>
      </c>
    </row>
    <row r="29" customFormat="false" ht="23.85" hidden="false" customHeight="false" outlineLevel="0" collapsed="false">
      <c r="A29" s="13" t="s">
        <v>551</v>
      </c>
      <c r="B29" s="13" t="s">
        <v>541</v>
      </c>
      <c r="C29" s="13" t="s">
        <v>430</v>
      </c>
      <c r="D29" s="13" t="s">
        <v>552</v>
      </c>
      <c r="E29" s="13" t="s">
        <v>553</v>
      </c>
      <c r="F29" s="13" t="s">
        <v>554</v>
      </c>
      <c r="G29" s="13" t="s">
        <v>555</v>
      </c>
      <c r="H29" s="13" t="s">
        <v>555</v>
      </c>
      <c r="I29" s="14" t="s">
        <v>44</v>
      </c>
      <c r="J29" s="13" t="s">
        <v>555</v>
      </c>
      <c r="K29" s="14" t="s">
        <v>44</v>
      </c>
    </row>
    <row r="30" customFormat="false" ht="23.85" hidden="false" customHeight="false" outlineLevel="0" collapsed="false">
      <c r="A30" s="13" t="s">
        <v>556</v>
      </c>
      <c r="B30" s="13" t="s">
        <v>541</v>
      </c>
      <c r="C30" s="13" t="s">
        <v>430</v>
      </c>
      <c r="D30" s="13" t="s">
        <v>552</v>
      </c>
      <c r="E30" s="13" t="s">
        <v>557</v>
      </c>
      <c r="F30" s="13" t="s">
        <v>558</v>
      </c>
      <c r="G30" s="13" t="s">
        <v>555</v>
      </c>
      <c r="H30" s="13" t="s">
        <v>555</v>
      </c>
      <c r="I30" s="14" t="s">
        <v>44</v>
      </c>
      <c r="J30" s="13" t="s">
        <v>555</v>
      </c>
      <c r="K30" s="14" t="s">
        <v>44</v>
      </c>
    </row>
    <row r="31" customFormat="false" ht="23.85" hidden="false" customHeight="false" outlineLevel="0" collapsed="false">
      <c r="A31" s="13" t="s">
        <v>559</v>
      </c>
      <c r="B31" s="13" t="s">
        <v>541</v>
      </c>
      <c r="C31" s="13" t="s">
        <v>430</v>
      </c>
      <c r="D31" s="13" t="s">
        <v>552</v>
      </c>
      <c r="E31" s="13" t="s">
        <v>560</v>
      </c>
      <c r="F31" s="13" t="s">
        <v>561</v>
      </c>
      <c r="G31" s="13" t="s">
        <v>555</v>
      </c>
      <c r="H31" s="13" t="s">
        <v>555</v>
      </c>
      <c r="I31" s="14" t="s">
        <v>44</v>
      </c>
      <c r="J31" s="13" t="s">
        <v>555</v>
      </c>
      <c r="K31" s="14" t="s">
        <v>44</v>
      </c>
    </row>
    <row r="32" customFormat="false" ht="23.85" hidden="false" customHeight="false" outlineLevel="0" collapsed="false">
      <c r="A32" s="13" t="s">
        <v>562</v>
      </c>
      <c r="B32" s="13" t="s">
        <v>541</v>
      </c>
      <c r="C32" s="13" t="s">
        <v>430</v>
      </c>
      <c r="D32" s="13" t="s">
        <v>552</v>
      </c>
      <c r="E32" s="13" t="s">
        <v>563</v>
      </c>
      <c r="F32" s="13" t="s">
        <v>564</v>
      </c>
      <c r="G32" s="13" t="s">
        <v>565</v>
      </c>
      <c r="H32" s="13" t="s">
        <v>565</v>
      </c>
      <c r="I32" s="14" t="s">
        <v>44</v>
      </c>
      <c r="J32" s="13" t="s">
        <v>565</v>
      </c>
      <c r="K32" s="14" t="s">
        <v>44</v>
      </c>
    </row>
    <row r="33" customFormat="false" ht="23.85" hidden="false" customHeight="false" outlineLevel="0" collapsed="false">
      <c r="A33" s="13" t="s">
        <v>566</v>
      </c>
      <c r="B33" s="13" t="s">
        <v>541</v>
      </c>
      <c r="C33" s="13" t="s">
        <v>430</v>
      </c>
      <c r="D33" s="13" t="s">
        <v>552</v>
      </c>
      <c r="E33" s="13" t="s">
        <v>567</v>
      </c>
      <c r="F33" s="13" t="s">
        <v>568</v>
      </c>
      <c r="G33" s="13" t="s">
        <v>569</v>
      </c>
      <c r="H33" s="13" t="s">
        <v>569</v>
      </c>
      <c r="I33" s="14" t="s">
        <v>44</v>
      </c>
      <c r="J33" s="13" t="s">
        <v>569</v>
      </c>
      <c r="K33" s="14" t="s">
        <v>44</v>
      </c>
    </row>
    <row r="34" customFormat="false" ht="23.85" hidden="false" customHeight="false" outlineLevel="0" collapsed="false">
      <c r="A34" s="13" t="s">
        <v>570</v>
      </c>
      <c r="B34" s="13" t="s">
        <v>541</v>
      </c>
      <c r="C34" s="13" t="s">
        <v>430</v>
      </c>
      <c r="D34" s="13" t="s">
        <v>552</v>
      </c>
      <c r="E34" s="13" t="s">
        <v>571</v>
      </c>
      <c r="F34" s="13" t="s">
        <v>572</v>
      </c>
      <c r="G34" s="13" t="s">
        <v>573</v>
      </c>
      <c r="H34" s="13" t="s">
        <v>573</v>
      </c>
      <c r="I34" s="14" t="s">
        <v>44</v>
      </c>
      <c r="J34" s="13" t="s">
        <v>573</v>
      </c>
      <c r="K34" s="14" t="s">
        <v>44</v>
      </c>
    </row>
    <row r="35" customFormat="false" ht="15" hidden="false" customHeight="false" outlineLevel="0" collapsed="false">
      <c r="A35" s="13" t="s">
        <v>574</v>
      </c>
      <c r="B35" s="13" t="s">
        <v>541</v>
      </c>
      <c r="C35" s="13" t="s">
        <v>430</v>
      </c>
      <c r="D35" s="13" t="s">
        <v>552</v>
      </c>
      <c r="E35" s="13" t="s">
        <v>575</v>
      </c>
      <c r="F35" s="13" t="s">
        <v>576</v>
      </c>
      <c r="G35" s="13" t="s">
        <v>577</v>
      </c>
      <c r="H35" s="13" t="s">
        <v>577</v>
      </c>
      <c r="I35" s="14" t="s">
        <v>44</v>
      </c>
      <c r="J35" s="13" t="s">
        <v>577</v>
      </c>
      <c r="K35" s="14" t="s">
        <v>44</v>
      </c>
    </row>
    <row r="36" customFormat="false" ht="15" hidden="false" customHeight="false" outlineLevel="0" collapsed="false">
      <c r="A36" s="13" t="s">
        <v>578</v>
      </c>
      <c r="B36" s="13" t="s">
        <v>541</v>
      </c>
      <c r="C36" s="13" t="s">
        <v>430</v>
      </c>
      <c r="D36" s="13" t="s">
        <v>552</v>
      </c>
      <c r="E36" s="13" t="s">
        <v>579</v>
      </c>
      <c r="F36" s="13" t="s">
        <v>580</v>
      </c>
      <c r="G36" s="13" t="s">
        <v>581</v>
      </c>
      <c r="H36" s="13" t="s">
        <v>581</v>
      </c>
      <c r="I36" s="14" t="s">
        <v>44</v>
      </c>
      <c r="J36" s="13" t="s">
        <v>581</v>
      </c>
      <c r="K36" s="14" t="s">
        <v>44</v>
      </c>
    </row>
    <row r="37" customFormat="false" ht="23.85" hidden="false" customHeight="false" outlineLevel="0" collapsed="false">
      <c r="A37" s="13" t="s">
        <v>582</v>
      </c>
      <c r="B37" s="13" t="s">
        <v>541</v>
      </c>
      <c r="C37" s="13" t="s">
        <v>458</v>
      </c>
      <c r="D37" s="13" t="s">
        <v>583</v>
      </c>
      <c r="E37" s="13" t="s">
        <v>584</v>
      </c>
      <c r="F37" s="13" t="s">
        <v>585</v>
      </c>
      <c r="G37" s="13" t="s">
        <v>586</v>
      </c>
      <c r="H37" s="13" t="s">
        <v>586</v>
      </c>
      <c r="I37" s="14" t="s">
        <v>44</v>
      </c>
      <c r="J37" s="13" t="s">
        <v>586</v>
      </c>
      <c r="K37" s="14" t="s">
        <v>44</v>
      </c>
    </row>
    <row r="38" customFormat="false" ht="23.85" hidden="false" customHeight="false" outlineLevel="0" collapsed="false">
      <c r="A38" s="13" t="s">
        <v>587</v>
      </c>
      <c r="B38" s="13" t="s">
        <v>541</v>
      </c>
      <c r="C38" s="13" t="s">
        <v>430</v>
      </c>
      <c r="D38" s="13" t="s">
        <v>588</v>
      </c>
      <c r="E38" s="13" t="s">
        <v>589</v>
      </c>
      <c r="F38" s="13" t="s">
        <v>590</v>
      </c>
      <c r="G38" s="13" t="s">
        <v>591</v>
      </c>
      <c r="H38" s="13" t="s">
        <v>591</v>
      </c>
      <c r="I38" s="14" t="s">
        <v>44</v>
      </c>
      <c r="J38" s="13" t="s">
        <v>591</v>
      </c>
      <c r="K38" s="14" t="s">
        <v>44</v>
      </c>
    </row>
    <row r="39" customFormat="false" ht="23.85" hidden="false" customHeight="false" outlineLevel="0" collapsed="false">
      <c r="A39" s="13" t="s">
        <v>592</v>
      </c>
      <c r="B39" s="13" t="s">
        <v>541</v>
      </c>
      <c r="C39" s="13" t="s">
        <v>430</v>
      </c>
      <c r="D39" s="13" t="s">
        <v>593</v>
      </c>
      <c r="E39" s="13" t="s">
        <v>594</v>
      </c>
      <c r="F39" s="13" t="s">
        <v>595</v>
      </c>
      <c r="G39" s="13" t="s">
        <v>596</v>
      </c>
      <c r="H39" s="13" t="s">
        <v>596</v>
      </c>
      <c r="I39" s="14" t="s">
        <v>44</v>
      </c>
      <c r="J39" s="13" t="s">
        <v>596</v>
      </c>
      <c r="K39" s="14" t="s">
        <v>44</v>
      </c>
    </row>
    <row r="40" customFormat="false" ht="15" hidden="false" customHeight="false" outlineLevel="0" collapsed="false">
      <c r="A40" s="13" t="s">
        <v>597</v>
      </c>
      <c r="B40" s="13" t="s">
        <v>541</v>
      </c>
      <c r="C40" s="13" t="s">
        <v>458</v>
      </c>
      <c r="D40" s="13" t="s">
        <v>598</v>
      </c>
      <c r="E40" s="13" t="s">
        <v>599</v>
      </c>
      <c r="F40" s="13" t="s">
        <v>600</v>
      </c>
      <c r="G40" s="13" t="s">
        <v>601</v>
      </c>
      <c r="H40" s="13" t="s">
        <v>601</v>
      </c>
      <c r="I40" s="14" t="s">
        <v>44</v>
      </c>
      <c r="J40" s="13" t="s">
        <v>601</v>
      </c>
      <c r="K40" s="14" t="s">
        <v>44</v>
      </c>
    </row>
    <row r="41" customFormat="false" ht="23.85" hidden="false" customHeight="false" outlineLevel="0" collapsed="false">
      <c r="A41" s="13" t="s">
        <v>602</v>
      </c>
      <c r="B41" s="13" t="s">
        <v>541</v>
      </c>
      <c r="C41" s="13" t="s">
        <v>430</v>
      </c>
      <c r="D41" s="13" t="s">
        <v>603</v>
      </c>
      <c r="E41" s="13" t="s">
        <v>604</v>
      </c>
      <c r="F41" s="13" t="s">
        <v>605</v>
      </c>
      <c r="G41" s="13" t="s">
        <v>606</v>
      </c>
      <c r="H41" s="13" t="s">
        <v>606</v>
      </c>
      <c r="I41" s="14" t="s">
        <v>44</v>
      </c>
      <c r="J41" s="13" t="s">
        <v>606</v>
      </c>
      <c r="K41" s="14" t="s">
        <v>44</v>
      </c>
    </row>
    <row r="42" customFormat="false" ht="35.05" hidden="false" customHeight="false" outlineLevel="0" collapsed="false">
      <c r="A42" s="13" t="s">
        <v>607</v>
      </c>
      <c r="B42" s="13" t="s">
        <v>608</v>
      </c>
      <c r="C42" s="13" t="s">
        <v>430</v>
      </c>
      <c r="D42" s="13" t="s">
        <v>609</v>
      </c>
      <c r="E42" s="13" t="s">
        <v>610</v>
      </c>
      <c r="F42" s="13" t="s">
        <v>611</v>
      </c>
      <c r="G42" s="13" t="s">
        <v>612</v>
      </c>
      <c r="H42" s="13" t="s">
        <v>612</v>
      </c>
      <c r="I42" s="14" t="s">
        <v>44</v>
      </c>
      <c r="J42" s="13" t="s">
        <v>612</v>
      </c>
      <c r="K42" s="14" t="s">
        <v>44</v>
      </c>
    </row>
    <row r="43" customFormat="false" ht="23.85" hidden="false" customHeight="false" outlineLevel="0" collapsed="false">
      <c r="A43" s="13" t="s">
        <v>613</v>
      </c>
      <c r="B43" s="13" t="s">
        <v>608</v>
      </c>
      <c r="C43" s="13" t="s">
        <v>430</v>
      </c>
      <c r="D43" s="13" t="s">
        <v>614</v>
      </c>
      <c r="E43" s="13" t="s">
        <v>615</v>
      </c>
      <c r="F43" s="13" t="s">
        <v>616</v>
      </c>
      <c r="G43" s="13" t="s">
        <v>617</v>
      </c>
      <c r="H43" s="13" t="s">
        <v>617</v>
      </c>
      <c r="I43" s="14" t="s">
        <v>44</v>
      </c>
      <c r="J43" s="13" t="s">
        <v>617</v>
      </c>
      <c r="K43" s="14" t="s">
        <v>44</v>
      </c>
    </row>
    <row r="44" customFormat="false" ht="23.85" hidden="false" customHeight="false" outlineLevel="0" collapsed="false">
      <c r="A44" s="13" t="s">
        <v>618</v>
      </c>
      <c r="B44" s="13" t="s">
        <v>608</v>
      </c>
      <c r="C44" s="13" t="s">
        <v>487</v>
      </c>
      <c r="D44" s="13" t="s">
        <v>619</v>
      </c>
      <c r="E44" s="13" t="s">
        <v>620</v>
      </c>
      <c r="F44" s="13" t="s">
        <v>621</v>
      </c>
      <c r="G44" s="13" t="s">
        <v>622</v>
      </c>
      <c r="H44" s="13" t="s">
        <v>622</v>
      </c>
      <c r="I44" s="14" t="s">
        <v>44</v>
      </c>
      <c r="J44" s="13" t="s">
        <v>622</v>
      </c>
      <c r="K44" s="14" t="s">
        <v>44</v>
      </c>
    </row>
    <row r="45" customFormat="false" ht="35.05" hidden="false" customHeight="false" outlineLevel="0" collapsed="false">
      <c r="A45" s="13" t="s">
        <v>623</v>
      </c>
      <c r="B45" s="13" t="s">
        <v>608</v>
      </c>
      <c r="C45" s="13" t="s">
        <v>430</v>
      </c>
      <c r="D45" s="13" t="s">
        <v>624</v>
      </c>
      <c r="E45" s="13" t="s">
        <v>625</v>
      </c>
      <c r="F45" s="13" t="s">
        <v>626</v>
      </c>
      <c r="G45" s="13" t="s">
        <v>627</v>
      </c>
      <c r="H45" s="13" t="s">
        <v>627</v>
      </c>
      <c r="I45" s="14" t="s">
        <v>44</v>
      </c>
      <c r="J45" s="13" t="s">
        <v>627</v>
      </c>
      <c r="K45" s="14" t="s">
        <v>44</v>
      </c>
    </row>
    <row r="46" customFormat="false" ht="35.05" hidden="false" customHeight="false" outlineLevel="0" collapsed="false">
      <c r="A46" s="13" t="s">
        <v>628</v>
      </c>
      <c r="B46" s="13" t="s">
        <v>608</v>
      </c>
      <c r="C46" s="13" t="s">
        <v>487</v>
      </c>
      <c r="D46" s="13" t="s">
        <v>629</v>
      </c>
      <c r="E46" s="13" t="s">
        <v>630</v>
      </c>
      <c r="F46" s="13" t="s">
        <v>631</v>
      </c>
      <c r="G46" s="13" t="s">
        <v>632</v>
      </c>
      <c r="H46" s="13" t="s">
        <v>633</v>
      </c>
      <c r="I46" s="15" t="s">
        <v>634</v>
      </c>
      <c r="J46" s="13" t="s">
        <v>632</v>
      </c>
      <c r="K46" s="14" t="s">
        <v>44</v>
      </c>
    </row>
    <row r="47" customFormat="false" ht="35.05" hidden="false" customHeight="false" outlineLevel="0" collapsed="false">
      <c r="A47" s="13" t="s">
        <v>635</v>
      </c>
      <c r="B47" s="13" t="s">
        <v>636</v>
      </c>
      <c r="C47" s="13" t="s">
        <v>430</v>
      </c>
      <c r="D47" s="13" t="s">
        <v>637</v>
      </c>
      <c r="E47" s="13" t="s">
        <v>638</v>
      </c>
      <c r="F47" s="13" t="s">
        <v>639</v>
      </c>
      <c r="G47" s="13" t="s">
        <v>640</v>
      </c>
      <c r="H47" s="13" t="s">
        <v>640</v>
      </c>
      <c r="I47" s="14" t="s">
        <v>44</v>
      </c>
      <c r="J47" s="13" t="s">
        <v>640</v>
      </c>
      <c r="K47" s="14" t="s">
        <v>44</v>
      </c>
    </row>
    <row r="48" customFormat="false" ht="35.05" hidden="false" customHeight="false" outlineLevel="0" collapsed="false">
      <c r="A48" s="13" t="s">
        <v>641</v>
      </c>
      <c r="B48" s="13" t="s">
        <v>636</v>
      </c>
      <c r="C48" s="13" t="s">
        <v>487</v>
      </c>
      <c r="D48" s="13" t="s">
        <v>642</v>
      </c>
      <c r="E48" s="13" t="s">
        <v>643</v>
      </c>
      <c r="F48" s="13" t="s">
        <v>644</v>
      </c>
      <c r="G48" s="13" t="s">
        <v>640</v>
      </c>
      <c r="H48" s="13" t="s">
        <v>640</v>
      </c>
      <c r="I48" s="14" t="s">
        <v>44</v>
      </c>
      <c r="J48" s="13" t="s">
        <v>640</v>
      </c>
      <c r="K48" s="14" t="s">
        <v>44</v>
      </c>
    </row>
    <row r="49" customFormat="false" ht="35.05" hidden="false" customHeight="false" outlineLevel="0" collapsed="false">
      <c r="A49" s="13" t="s">
        <v>645</v>
      </c>
      <c r="B49" s="13" t="s">
        <v>636</v>
      </c>
      <c r="C49" s="13" t="s">
        <v>458</v>
      </c>
      <c r="D49" s="13" t="s">
        <v>646</v>
      </c>
      <c r="E49" s="13" t="s">
        <v>647</v>
      </c>
      <c r="F49" s="13" t="s">
        <v>648</v>
      </c>
      <c r="G49" s="13" t="s">
        <v>649</v>
      </c>
      <c r="H49" s="13" t="s">
        <v>649</v>
      </c>
      <c r="I49" s="14" t="s">
        <v>44</v>
      </c>
      <c r="J49" s="13" t="s">
        <v>649</v>
      </c>
      <c r="K49" s="14" t="s">
        <v>44</v>
      </c>
    </row>
    <row r="50" customFormat="false" ht="35.05" hidden="false" customHeight="false" outlineLevel="0" collapsed="false">
      <c r="A50" s="13" t="s">
        <v>650</v>
      </c>
      <c r="B50" s="13" t="s">
        <v>636</v>
      </c>
      <c r="C50" s="13" t="s">
        <v>487</v>
      </c>
      <c r="D50" s="13" t="s">
        <v>651</v>
      </c>
      <c r="E50" s="13" t="s">
        <v>652</v>
      </c>
      <c r="F50" s="13" t="s">
        <v>653</v>
      </c>
      <c r="G50" s="13" t="s">
        <v>654</v>
      </c>
      <c r="H50" s="13" t="s">
        <v>654</v>
      </c>
      <c r="I50" s="14" t="s">
        <v>44</v>
      </c>
      <c r="J50" s="13" t="s">
        <v>654</v>
      </c>
      <c r="K50" s="14" t="s">
        <v>44</v>
      </c>
    </row>
    <row r="51" customFormat="false" ht="35.05" hidden="false" customHeight="false" outlineLevel="0" collapsed="false">
      <c r="A51" s="13" t="s">
        <v>655</v>
      </c>
      <c r="B51" s="13" t="s">
        <v>636</v>
      </c>
      <c r="C51" s="13" t="s">
        <v>487</v>
      </c>
      <c r="D51" s="13" t="s">
        <v>656</v>
      </c>
      <c r="E51" s="13" t="s">
        <v>657</v>
      </c>
      <c r="F51" s="13" t="s">
        <v>658</v>
      </c>
      <c r="G51" s="13" t="s">
        <v>659</v>
      </c>
      <c r="H51" s="13" t="s">
        <v>659</v>
      </c>
      <c r="I51" s="14" t="s">
        <v>44</v>
      </c>
      <c r="J51" s="13" t="s">
        <v>659</v>
      </c>
      <c r="K51" s="14" t="s">
        <v>44</v>
      </c>
    </row>
    <row r="52" customFormat="false" ht="23.85" hidden="false" customHeight="false" outlineLevel="0" collapsed="false">
      <c r="A52" s="13" t="s">
        <v>660</v>
      </c>
      <c r="B52" s="13" t="s">
        <v>661</v>
      </c>
      <c r="C52" s="13" t="s">
        <v>458</v>
      </c>
      <c r="D52" s="13" t="s">
        <v>662</v>
      </c>
      <c r="E52" s="13" t="s">
        <v>663</v>
      </c>
      <c r="F52" s="13" t="s">
        <v>664</v>
      </c>
      <c r="G52" s="13" t="s">
        <v>665</v>
      </c>
      <c r="H52" s="13" t="s">
        <v>665</v>
      </c>
      <c r="I52" s="14" t="s">
        <v>44</v>
      </c>
      <c r="J52" s="13" t="s">
        <v>665</v>
      </c>
      <c r="K52" s="14" t="s">
        <v>44</v>
      </c>
    </row>
    <row r="53" customFormat="false" ht="23.85" hidden="false" customHeight="false" outlineLevel="0" collapsed="false">
      <c r="A53" s="13" t="s">
        <v>666</v>
      </c>
      <c r="B53" s="13" t="s">
        <v>661</v>
      </c>
      <c r="C53" s="13" t="s">
        <v>487</v>
      </c>
      <c r="D53" s="13" t="s">
        <v>667</v>
      </c>
      <c r="E53" s="13" t="s">
        <v>668</v>
      </c>
      <c r="F53" s="13" t="s">
        <v>669</v>
      </c>
      <c r="G53" s="13" t="s">
        <v>670</v>
      </c>
      <c r="H53" s="13" t="s">
        <v>670</v>
      </c>
      <c r="I53" s="14" t="s">
        <v>44</v>
      </c>
      <c r="J53" s="13" t="s">
        <v>670</v>
      </c>
      <c r="K53" s="14" t="s">
        <v>44</v>
      </c>
    </row>
    <row r="54" customFormat="false" ht="23.85" hidden="false" customHeight="false" outlineLevel="0" collapsed="false">
      <c r="A54" s="13" t="s">
        <v>671</v>
      </c>
      <c r="B54" s="13" t="s">
        <v>661</v>
      </c>
      <c r="C54" s="13" t="s">
        <v>487</v>
      </c>
      <c r="D54" s="13" t="s">
        <v>672</v>
      </c>
      <c r="E54" s="13" t="s">
        <v>673</v>
      </c>
      <c r="F54" s="13" t="s">
        <v>674</v>
      </c>
      <c r="G54" s="13" t="s">
        <v>675</v>
      </c>
      <c r="H54" s="13" t="s">
        <v>675</v>
      </c>
      <c r="I54" s="14" t="s">
        <v>44</v>
      </c>
      <c r="J54" s="13" t="s">
        <v>675</v>
      </c>
      <c r="K54" s="14" t="s">
        <v>44</v>
      </c>
    </row>
    <row r="55" customFormat="false" ht="35.05" hidden="false" customHeight="false" outlineLevel="0" collapsed="false">
      <c r="A55" s="13" t="s">
        <v>676</v>
      </c>
      <c r="B55" s="13" t="s">
        <v>661</v>
      </c>
      <c r="C55" s="13" t="s">
        <v>430</v>
      </c>
      <c r="D55" s="13" t="s">
        <v>677</v>
      </c>
      <c r="E55" s="13" t="s">
        <v>678</v>
      </c>
      <c r="F55" s="13" t="s">
        <v>679</v>
      </c>
      <c r="G55" s="13" t="s">
        <v>680</v>
      </c>
      <c r="H55" s="13" t="s">
        <v>680</v>
      </c>
      <c r="I55" s="14" t="s">
        <v>44</v>
      </c>
      <c r="J55" s="13" t="s">
        <v>680</v>
      </c>
      <c r="K55" s="14" t="s">
        <v>44</v>
      </c>
    </row>
    <row r="56" customFormat="false" ht="23.85" hidden="false" customHeight="false" outlineLevel="0" collapsed="false">
      <c r="A56" s="13" t="s">
        <v>681</v>
      </c>
      <c r="B56" s="13" t="s">
        <v>661</v>
      </c>
      <c r="C56" s="13" t="s">
        <v>458</v>
      </c>
      <c r="D56" s="13" t="s">
        <v>682</v>
      </c>
      <c r="E56" s="13" t="s">
        <v>683</v>
      </c>
      <c r="F56" s="13" t="s">
        <v>684</v>
      </c>
      <c r="G56" s="13" t="s">
        <v>685</v>
      </c>
      <c r="H56" s="13" t="s">
        <v>685</v>
      </c>
      <c r="I56" s="14" t="s">
        <v>44</v>
      </c>
      <c r="J56" s="13" t="s">
        <v>685</v>
      </c>
      <c r="K56" s="14" t="s">
        <v>44</v>
      </c>
    </row>
    <row r="57" customFormat="false" ht="15" hidden="false" customHeight="false" outlineLevel="0" collapsed="false">
      <c r="A57" s="13" t="s">
        <v>686</v>
      </c>
      <c r="B57" s="13" t="s">
        <v>661</v>
      </c>
      <c r="C57" s="13" t="s">
        <v>487</v>
      </c>
      <c r="D57" s="13" t="s">
        <v>687</v>
      </c>
      <c r="E57" s="13" t="s">
        <v>688</v>
      </c>
      <c r="F57" s="13" t="s">
        <v>689</v>
      </c>
      <c r="G57" s="13" t="s">
        <v>690</v>
      </c>
      <c r="H57" s="13" t="s">
        <v>690</v>
      </c>
      <c r="I57" s="14" t="s">
        <v>44</v>
      </c>
      <c r="J57" s="13" t="s">
        <v>690</v>
      </c>
      <c r="K57" s="14" t="s">
        <v>44</v>
      </c>
    </row>
    <row r="58" customFormat="false" ht="35.05" hidden="false" customHeight="false" outlineLevel="0" collapsed="false">
      <c r="A58" s="13" t="s">
        <v>691</v>
      </c>
      <c r="B58" s="13" t="s">
        <v>692</v>
      </c>
      <c r="C58" s="13" t="s">
        <v>487</v>
      </c>
      <c r="D58" s="13" t="s">
        <v>693</v>
      </c>
      <c r="E58" s="13" t="s">
        <v>694</v>
      </c>
      <c r="F58" s="13" t="s">
        <v>695</v>
      </c>
      <c r="G58" s="13" t="s">
        <v>696</v>
      </c>
      <c r="H58" s="13" t="s">
        <v>696</v>
      </c>
      <c r="I58" s="14" t="s">
        <v>44</v>
      </c>
      <c r="J58" s="13" t="s">
        <v>696</v>
      </c>
      <c r="K58" s="14" t="s">
        <v>44</v>
      </c>
    </row>
    <row r="59" customFormat="false" ht="15" hidden="false" customHeight="false" outlineLevel="0" collapsed="false">
      <c r="A59" s="13" t="s">
        <v>697</v>
      </c>
      <c r="B59" s="13" t="s">
        <v>692</v>
      </c>
      <c r="C59" s="13" t="s">
        <v>458</v>
      </c>
      <c r="D59" s="13" t="s">
        <v>698</v>
      </c>
      <c r="E59" s="13" t="s">
        <v>699</v>
      </c>
      <c r="F59" s="13" t="s">
        <v>700</v>
      </c>
      <c r="G59" s="13" t="s">
        <v>701</v>
      </c>
      <c r="H59" s="13" t="s">
        <v>701</v>
      </c>
      <c r="I59" s="14" t="s">
        <v>44</v>
      </c>
      <c r="J59" s="13" t="s">
        <v>701</v>
      </c>
      <c r="K59" s="14" t="s">
        <v>44</v>
      </c>
    </row>
    <row r="60" customFormat="false" ht="15" hidden="false" customHeight="false" outlineLevel="0" collapsed="false">
      <c r="A60" s="13" t="s">
        <v>702</v>
      </c>
      <c r="B60" s="13" t="s">
        <v>692</v>
      </c>
      <c r="C60" s="13" t="s">
        <v>458</v>
      </c>
      <c r="D60" s="13" t="s">
        <v>698</v>
      </c>
      <c r="E60" s="13" t="s">
        <v>703</v>
      </c>
      <c r="F60" s="13" t="s">
        <v>704</v>
      </c>
      <c r="G60" s="13" t="s">
        <v>705</v>
      </c>
      <c r="H60" s="13" t="s">
        <v>705</v>
      </c>
      <c r="I60" s="14" t="s">
        <v>44</v>
      </c>
      <c r="J60" s="13" t="s">
        <v>705</v>
      </c>
      <c r="K60" s="14" t="s">
        <v>44</v>
      </c>
    </row>
    <row r="61" customFormat="false" ht="15" hidden="false" customHeight="false" outlineLevel="0" collapsed="false">
      <c r="A61" s="13" t="s">
        <v>706</v>
      </c>
      <c r="B61" s="13" t="s">
        <v>692</v>
      </c>
      <c r="C61" s="13" t="s">
        <v>458</v>
      </c>
      <c r="D61" s="13" t="s">
        <v>698</v>
      </c>
      <c r="E61" s="13" t="s">
        <v>707</v>
      </c>
      <c r="F61" s="13" t="s">
        <v>708</v>
      </c>
      <c r="G61" s="13" t="s">
        <v>705</v>
      </c>
      <c r="H61" s="13" t="s">
        <v>705</v>
      </c>
      <c r="I61" s="14" t="s">
        <v>44</v>
      </c>
      <c r="J61" s="13" t="s">
        <v>705</v>
      </c>
      <c r="K61" s="14" t="s">
        <v>44</v>
      </c>
    </row>
    <row r="62" customFormat="false" ht="15" hidden="false" customHeight="false" outlineLevel="0" collapsed="false">
      <c r="A62" s="13" t="s">
        <v>709</v>
      </c>
      <c r="B62" s="13" t="s">
        <v>692</v>
      </c>
      <c r="C62" s="13" t="s">
        <v>458</v>
      </c>
      <c r="D62" s="13" t="s">
        <v>698</v>
      </c>
      <c r="E62" s="13" t="s">
        <v>710</v>
      </c>
      <c r="F62" s="13" t="s">
        <v>711</v>
      </c>
      <c r="G62" s="13" t="s">
        <v>701</v>
      </c>
      <c r="H62" s="13" t="s">
        <v>701</v>
      </c>
      <c r="I62" s="14" t="s">
        <v>44</v>
      </c>
      <c r="J62" s="13" t="s">
        <v>701</v>
      </c>
      <c r="K62" s="14" t="s">
        <v>44</v>
      </c>
    </row>
    <row r="63" customFormat="false" ht="15" hidden="false" customHeight="false" outlineLevel="0" collapsed="false">
      <c r="A63" s="13" t="s">
        <v>712</v>
      </c>
      <c r="B63" s="13" t="s">
        <v>692</v>
      </c>
      <c r="C63" s="13" t="s">
        <v>487</v>
      </c>
      <c r="D63" s="13" t="s">
        <v>713</v>
      </c>
      <c r="E63" s="13" t="s">
        <v>714</v>
      </c>
      <c r="F63" s="13" t="s">
        <v>715</v>
      </c>
      <c r="G63" s="13" t="s">
        <v>701</v>
      </c>
      <c r="H63" s="13" t="s">
        <v>701</v>
      </c>
      <c r="I63" s="14" t="s">
        <v>44</v>
      </c>
      <c r="J63" s="13" t="s">
        <v>701</v>
      </c>
      <c r="K63" s="14" t="s">
        <v>44</v>
      </c>
    </row>
    <row r="64" customFormat="false" ht="15" hidden="false" customHeight="false" outlineLevel="0" collapsed="false">
      <c r="A64" s="13" t="s">
        <v>716</v>
      </c>
      <c r="B64" s="13" t="s">
        <v>692</v>
      </c>
      <c r="C64" s="13" t="s">
        <v>487</v>
      </c>
      <c r="D64" s="13" t="s">
        <v>717</v>
      </c>
      <c r="E64" s="13" t="s">
        <v>718</v>
      </c>
      <c r="F64" s="13" t="s">
        <v>719</v>
      </c>
      <c r="G64" s="13" t="s">
        <v>720</v>
      </c>
      <c r="H64" s="13" t="s">
        <v>720</v>
      </c>
      <c r="I64" s="14" t="s">
        <v>44</v>
      </c>
      <c r="J64" s="13" t="s">
        <v>720</v>
      </c>
      <c r="K64" s="14" t="s">
        <v>44</v>
      </c>
    </row>
    <row r="65" customFormat="false" ht="15" hidden="false" customHeight="false" outlineLevel="0" collapsed="false">
      <c r="A65" s="13" t="s">
        <v>721</v>
      </c>
      <c r="B65" s="13" t="s">
        <v>692</v>
      </c>
      <c r="C65" s="13" t="s">
        <v>458</v>
      </c>
      <c r="D65" s="13" t="s">
        <v>722</v>
      </c>
      <c r="E65" s="13" t="s">
        <v>723</v>
      </c>
      <c r="F65" s="13" t="s">
        <v>724</v>
      </c>
      <c r="G65" s="13" t="s">
        <v>701</v>
      </c>
      <c r="H65" s="13" t="s">
        <v>701</v>
      </c>
      <c r="I65" s="14" t="s">
        <v>44</v>
      </c>
      <c r="J65" s="13" t="s">
        <v>701</v>
      </c>
      <c r="K65" s="14" t="s">
        <v>44</v>
      </c>
    </row>
    <row r="66" customFormat="false" ht="15" hidden="false" customHeight="false" outlineLevel="0" collapsed="false">
      <c r="A66" s="13" t="s">
        <v>725</v>
      </c>
      <c r="B66" s="13" t="s">
        <v>692</v>
      </c>
      <c r="C66" s="13" t="s">
        <v>458</v>
      </c>
      <c r="D66" s="13" t="s">
        <v>722</v>
      </c>
      <c r="E66" s="13" t="s">
        <v>726</v>
      </c>
      <c r="F66" s="13" t="s">
        <v>727</v>
      </c>
      <c r="G66" s="13" t="s">
        <v>705</v>
      </c>
      <c r="H66" s="13" t="s">
        <v>705</v>
      </c>
      <c r="I66" s="14" t="s">
        <v>44</v>
      </c>
      <c r="J66" s="13" t="s">
        <v>705</v>
      </c>
      <c r="K66" s="14" t="s">
        <v>44</v>
      </c>
    </row>
    <row r="67" customFormat="false" ht="15" hidden="false" customHeight="false" outlineLevel="0" collapsed="false">
      <c r="A67" s="13" t="s">
        <v>728</v>
      </c>
      <c r="B67" s="13" t="s">
        <v>692</v>
      </c>
      <c r="C67" s="13" t="s">
        <v>487</v>
      </c>
      <c r="D67" s="13" t="s">
        <v>729</v>
      </c>
      <c r="E67" s="13" t="s">
        <v>730</v>
      </c>
      <c r="F67" s="13" t="s">
        <v>731</v>
      </c>
      <c r="G67" s="13" t="s">
        <v>701</v>
      </c>
      <c r="H67" s="13" t="s">
        <v>701</v>
      </c>
      <c r="I67" s="14" t="s">
        <v>44</v>
      </c>
      <c r="J67" s="13" t="s">
        <v>701</v>
      </c>
      <c r="K67" s="14" t="s">
        <v>44</v>
      </c>
    </row>
    <row r="68" customFormat="false" ht="23.85" hidden="false" customHeight="false" outlineLevel="0" collapsed="false">
      <c r="A68" s="13" t="s">
        <v>732</v>
      </c>
      <c r="B68" s="13" t="s">
        <v>692</v>
      </c>
      <c r="C68" s="13" t="s">
        <v>487</v>
      </c>
      <c r="D68" s="13" t="s">
        <v>733</v>
      </c>
      <c r="E68" s="13" t="s">
        <v>734</v>
      </c>
      <c r="F68" s="13" t="s">
        <v>735</v>
      </c>
      <c r="G68" s="13" t="s">
        <v>736</v>
      </c>
      <c r="H68" s="13" t="s">
        <v>736</v>
      </c>
      <c r="I68" s="14" t="s">
        <v>44</v>
      </c>
      <c r="J68" s="13" t="s">
        <v>736</v>
      </c>
      <c r="K68" s="14" t="s">
        <v>44</v>
      </c>
    </row>
    <row r="69" customFormat="false" ht="23.85" hidden="false" customHeight="false" outlineLevel="0" collapsed="false">
      <c r="A69" s="13" t="s">
        <v>737</v>
      </c>
      <c r="B69" s="13" t="s">
        <v>692</v>
      </c>
      <c r="C69" s="13" t="s">
        <v>487</v>
      </c>
      <c r="D69" s="13" t="s">
        <v>738</v>
      </c>
      <c r="E69" s="13" t="s">
        <v>739</v>
      </c>
      <c r="F69" s="13" t="s">
        <v>740</v>
      </c>
      <c r="G69" s="13" t="s">
        <v>741</v>
      </c>
      <c r="H69" s="13" t="s">
        <v>741</v>
      </c>
      <c r="I69" s="14" t="s">
        <v>44</v>
      </c>
      <c r="J69" s="13" t="s">
        <v>741</v>
      </c>
      <c r="K69" s="14" t="s">
        <v>44</v>
      </c>
    </row>
    <row r="70" customFormat="false" ht="23.85" hidden="false" customHeight="false" outlineLevel="0" collapsed="false">
      <c r="A70" s="13" t="s">
        <v>742</v>
      </c>
      <c r="B70" s="13" t="s">
        <v>692</v>
      </c>
      <c r="C70" s="13" t="s">
        <v>487</v>
      </c>
      <c r="D70" s="13" t="s">
        <v>743</v>
      </c>
      <c r="E70" s="13" t="s">
        <v>744</v>
      </c>
      <c r="F70" s="13" t="s">
        <v>745</v>
      </c>
      <c r="G70" s="13" t="s">
        <v>746</v>
      </c>
      <c r="H70" s="13" t="s">
        <v>746</v>
      </c>
      <c r="I70" s="14" t="s">
        <v>44</v>
      </c>
      <c r="J70" s="13" t="s">
        <v>746</v>
      </c>
      <c r="K70" s="14" t="s">
        <v>44</v>
      </c>
    </row>
    <row r="71" customFormat="false" ht="15" hidden="false" customHeight="false" outlineLevel="0" collapsed="false">
      <c r="A71" s="13" t="s">
        <v>747</v>
      </c>
      <c r="B71" s="13" t="s">
        <v>692</v>
      </c>
      <c r="C71" s="13" t="s">
        <v>487</v>
      </c>
      <c r="D71" s="13" t="s">
        <v>748</v>
      </c>
      <c r="E71" s="13" t="s">
        <v>749</v>
      </c>
      <c r="F71" s="13" t="s">
        <v>750</v>
      </c>
      <c r="G71" s="13" t="s">
        <v>701</v>
      </c>
      <c r="H71" s="13" t="s">
        <v>701</v>
      </c>
      <c r="I71" s="14" t="s">
        <v>44</v>
      </c>
      <c r="J71" s="13" t="s">
        <v>701</v>
      </c>
      <c r="K71" s="14" t="s">
        <v>44</v>
      </c>
    </row>
    <row r="72" customFormat="false" ht="23.85" hidden="false" customHeight="false" outlineLevel="0" collapsed="false">
      <c r="A72" s="13" t="s">
        <v>751</v>
      </c>
      <c r="B72" s="13" t="s">
        <v>692</v>
      </c>
      <c r="C72" s="13" t="s">
        <v>430</v>
      </c>
      <c r="D72" s="13" t="s">
        <v>752</v>
      </c>
      <c r="E72" s="13" t="s">
        <v>753</v>
      </c>
      <c r="F72" s="13" t="s">
        <v>754</v>
      </c>
      <c r="G72" s="13" t="s">
        <v>755</v>
      </c>
      <c r="H72" s="13" t="s">
        <v>755</v>
      </c>
      <c r="I72" s="14" t="s">
        <v>44</v>
      </c>
      <c r="J72" s="13" t="s">
        <v>755</v>
      </c>
      <c r="K72" s="14" t="s">
        <v>44</v>
      </c>
    </row>
    <row r="73" customFormat="false" ht="23.85" hidden="false" customHeight="false" outlineLevel="0" collapsed="false">
      <c r="A73" s="13" t="s">
        <v>756</v>
      </c>
      <c r="B73" s="13" t="s">
        <v>692</v>
      </c>
      <c r="C73" s="13" t="s">
        <v>430</v>
      </c>
      <c r="D73" s="13" t="s">
        <v>757</v>
      </c>
      <c r="E73" s="13" t="s">
        <v>758</v>
      </c>
      <c r="F73" s="13" t="s">
        <v>759</v>
      </c>
      <c r="G73" s="13" t="s">
        <v>760</v>
      </c>
      <c r="H73" s="13" t="s">
        <v>760</v>
      </c>
      <c r="I73" s="14" t="s">
        <v>44</v>
      </c>
      <c r="J73" s="13" t="s">
        <v>760</v>
      </c>
      <c r="K73" s="14" t="s">
        <v>44</v>
      </c>
    </row>
    <row r="74" customFormat="false" ht="23.85" hidden="false" customHeight="false" outlineLevel="0" collapsed="false">
      <c r="A74" s="13" t="s">
        <v>761</v>
      </c>
      <c r="B74" s="13" t="s">
        <v>692</v>
      </c>
      <c r="C74" s="13" t="s">
        <v>430</v>
      </c>
      <c r="D74" s="13" t="s">
        <v>762</v>
      </c>
      <c r="E74" s="13" t="s">
        <v>763</v>
      </c>
      <c r="F74" s="13" t="s">
        <v>764</v>
      </c>
      <c r="G74" s="13" t="s">
        <v>760</v>
      </c>
      <c r="H74" s="13" t="s">
        <v>760</v>
      </c>
      <c r="I74" s="14" t="s">
        <v>44</v>
      </c>
      <c r="J74" s="13" t="s">
        <v>760</v>
      </c>
      <c r="K74" s="14" t="s">
        <v>44</v>
      </c>
    </row>
    <row r="75" customFormat="false" ht="15" hidden="false" customHeight="false" outlineLevel="0" collapsed="false">
      <c r="A75" s="13" t="s">
        <v>765</v>
      </c>
      <c r="B75" s="13" t="s">
        <v>692</v>
      </c>
      <c r="C75" s="13" t="s">
        <v>487</v>
      </c>
      <c r="D75" s="13" t="s">
        <v>766</v>
      </c>
      <c r="E75" s="13" t="s">
        <v>767</v>
      </c>
      <c r="F75" s="13" t="s">
        <v>768</v>
      </c>
      <c r="G75" s="13" t="s">
        <v>701</v>
      </c>
      <c r="H75" s="13" t="s">
        <v>701</v>
      </c>
      <c r="I75" s="14" t="s">
        <v>44</v>
      </c>
      <c r="J75" s="13" t="s">
        <v>701</v>
      </c>
      <c r="K75" s="14" t="s">
        <v>44</v>
      </c>
    </row>
    <row r="76" customFormat="false" ht="15" hidden="false" customHeight="false" outlineLevel="0" collapsed="false">
      <c r="A76" s="13" t="s">
        <v>769</v>
      </c>
      <c r="B76" s="13" t="s">
        <v>692</v>
      </c>
      <c r="C76" s="13" t="s">
        <v>487</v>
      </c>
      <c r="D76" s="13" t="s">
        <v>729</v>
      </c>
      <c r="E76" s="13" t="s">
        <v>770</v>
      </c>
      <c r="F76" s="13" t="s">
        <v>771</v>
      </c>
      <c r="G76" s="13" t="s">
        <v>701</v>
      </c>
      <c r="H76" s="13" t="s">
        <v>701</v>
      </c>
      <c r="I76" s="14" t="s">
        <v>44</v>
      </c>
      <c r="J76" s="13" t="s">
        <v>701</v>
      </c>
      <c r="K76" s="14" t="s">
        <v>44</v>
      </c>
    </row>
    <row r="77" customFormat="false" ht="23.85" hidden="false" customHeight="false" outlineLevel="0" collapsed="false">
      <c r="A77" s="13" t="s">
        <v>772</v>
      </c>
      <c r="B77" s="13" t="s">
        <v>692</v>
      </c>
      <c r="C77" s="13" t="s">
        <v>773</v>
      </c>
      <c r="D77" s="13" t="s">
        <v>774</v>
      </c>
      <c r="E77" s="13" t="s">
        <v>775</v>
      </c>
      <c r="F77" s="13" t="s">
        <v>776</v>
      </c>
      <c r="G77" s="13" t="s">
        <v>777</v>
      </c>
      <c r="H77" s="13" t="s">
        <v>777</v>
      </c>
      <c r="I77" s="14" t="s">
        <v>44</v>
      </c>
      <c r="J77" s="13" t="s">
        <v>777</v>
      </c>
      <c r="K77" s="14" t="s">
        <v>44</v>
      </c>
    </row>
    <row r="78" customFormat="false" ht="23.85" hidden="false" customHeight="false" outlineLevel="0" collapsed="false">
      <c r="A78" s="13" t="s">
        <v>778</v>
      </c>
      <c r="B78" s="13" t="s">
        <v>692</v>
      </c>
      <c r="C78" s="13" t="s">
        <v>773</v>
      </c>
      <c r="D78" s="13" t="s">
        <v>779</v>
      </c>
      <c r="E78" s="13" t="s">
        <v>780</v>
      </c>
      <c r="F78" s="13" t="s">
        <v>781</v>
      </c>
      <c r="G78" s="13" t="s">
        <v>782</v>
      </c>
      <c r="H78" s="13" t="s">
        <v>782</v>
      </c>
      <c r="I78" s="14" t="s">
        <v>44</v>
      </c>
      <c r="J78" s="13" t="s">
        <v>782</v>
      </c>
      <c r="K78" s="14" t="s">
        <v>44</v>
      </c>
    </row>
    <row r="79" customFormat="false" ht="23.85" hidden="false" customHeight="false" outlineLevel="0" collapsed="false">
      <c r="A79" s="13" t="s">
        <v>783</v>
      </c>
      <c r="B79" s="13" t="s">
        <v>692</v>
      </c>
      <c r="C79" s="13" t="s">
        <v>773</v>
      </c>
      <c r="D79" s="13" t="s">
        <v>784</v>
      </c>
      <c r="E79" s="13" t="s">
        <v>785</v>
      </c>
      <c r="F79" s="13" t="s">
        <v>786</v>
      </c>
      <c r="G79" s="13" t="s">
        <v>787</v>
      </c>
      <c r="H79" s="13" t="s">
        <v>787</v>
      </c>
      <c r="I79" s="14" t="s">
        <v>44</v>
      </c>
      <c r="J79" s="13" t="s">
        <v>787</v>
      </c>
      <c r="K79" s="14" t="s">
        <v>44</v>
      </c>
    </row>
    <row r="80" customFormat="false" ht="23.85" hidden="false" customHeight="false" outlineLevel="0" collapsed="false">
      <c r="A80" s="13" t="s">
        <v>788</v>
      </c>
      <c r="B80" s="13" t="s">
        <v>692</v>
      </c>
      <c r="C80" s="13" t="s">
        <v>773</v>
      </c>
      <c r="D80" s="13" t="s">
        <v>789</v>
      </c>
      <c r="E80" s="13" t="s">
        <v>790</v>
      </c>
      <c r="F80" s="13" t="s">
        <v>791</v>
      </c>
      <c r="G80" s="13" t="s">
        <v>782</v>
      </c>
      <c r="H80" s="13" t="s">
        <v>782</v>
      </c>
      <c r="I80" s="14" t="s">
        <v>44</v>
      </c>
      <c r="J80" s="13" t="s">
        <v>782</v>
      </c>
      <c r="K80" s="14" t="s">
        <v>44</v>
      </c>
    </row>
    <row r="81" customFormat="false" ht="23.85" hidden="false" customHeight="false" outlineLevel="0" collapsed="false">
      <c r="A81" s="13" t="s">
        <v>792</v>
      </c>
      <c r="B81" s="13" t="s">
        <v>692</v>
      </c>
      <c r="C81" s="13" t="s">
        <v>773</v>
      </c>
      <c r="D81" s="13" t="s">
        <v>793</v>
      </c>
      <c r="E81" s="13" t="s">
        <v>794</v>
      </c>
      <c r="F81" s="13" t="s">
        <v>795</v>
      </c>
      <c r="G81" s="13" t="s">
        <v>782</v>
      </c>
      <c r="H81" s="13" t="s">
        <v>782</v>
      </c>
      <c r="I81" s="14" t="s">
        <v>44</v>
      </c>
      <c r="J81" s="13" t="s">
        <v>782</v>
      </c>
      <c r="K81" s="14" t="s">
        <v>44</v>
      </c>
    </row>
    <row r="82" customFormat="false" ht="23.85" hidden="false" customHeight="false" outlineLevel="0" collapsed="false">
      <c r="A82" s="13" t="s">
        <v>796</v>
      </c>
      <c r="B82" s="13" t="s">
        <v>692</v>
      </c>
      <c r="C82" s="13" t="s">
        <v>487</v>
      </c>
      <c r="D82" s="13" t="s">
        <v>797</v>
      </c>
      <c r="E82" s="13" t="s">
        <v>798</v>
      </c>
      <c r="F82" s="13" t="s">
        <v>799</v>
      </c>
      <c r="G82" s="13" t="s">
        <v>777</v>
      </c>
      <c r="H82" s="13" t="s">
        <v>777</v>
      </c>
      <c r="I82" s="14" t="s">
        <v>44</v>
      </c>
      <c r="J82" s="13" t="s">
        <v>777</v>
      </c>
      <c r="K82" s="14" t="s">
        <v>44</v>
      </c>
    </row>
    <row r="83" customFormat="false" ht="23.85" hidden="false" customHeight="false" outlineLevel="0" collapsed="false">
      <c r="A83" s="13" t="s">
        <v>800</v>
      </c>
      <c r="B83" s="13" t="s">
        <v>692</v>
      </c>
      <c r="C83" s="13" t="s">
        <v>773</v>
      </c>
      <c r="D83" s="13" t="s">
        <v>801</v>
      </c>
      <c r="E83" s="13" t="s">
        <v>802</v>
      </c>
      <c r="F83" s="13" t="s">
        <v>803</v>
      </c>
      <c r="G83" s="13" t="s">
        <v>804</v>
      </c>
      <c r="H83" s="13" t="s">
        <v>804</v>
      </c>
      <c r="I83" s="14" t="s">
        <v>44</v>
      </c>
      <c r="J83" s="13" t="s">
        <v>804</v>
      </c>
      <c r="K83" s="14" t="s">
        <v>44</v>
      </c>
    </row>
    <row r="84" customFormat="false" ht="23.85" hidden="false" customHeight="false" outlineLevel="0" collapsed="false">
      <c r="A84" s="13" t="s">
        <v>805</v>
      </c>
      <c r="B84" s="13" t="s">
        <v>692</v>
      </c>
      <c r="C84" s="13" t="s">
        <v>487</v>
      </c>
      <c r="D84" s="13" t="s">
        <v>806</v>
      </c>
      <c r="E84" s="13" t="s">
        <v>807</v>
      </c>
      <c r="F84" s="13" t="s">
        <v>808</v>
      </c>
      <c r="G84" s="13" t="s">
        <v>701</v>
      </c>
      <c r="H84" s="13" t="s">
        <v>701</v>
      </c>
      <c r="I84" s="14" t="s">
        <v>44</v>
      </c>
      <c r="J84" s="13" t="s">
        <v>701</v>
      </c>
      <c r="K84" s="14" t="s">
        <v>44</v>
      </c>
    </row>
    <row r="85" customFormat="false" ht="23.85" hidden="false" customHeight="false" outlineLevel="0" collapsed="false">
      <c r="A85" s="13" t="s">
        <v>809</v>
      </c>
      <c r="B85" s="13" t="s">
        <v>692</v>
      </c>
      <c r="C85" s="13" t="s">
        <v>487</v>
      </c>
      <c r="D85" s="13" t="s">
        <v>810</v>
      </c>
      <c r="E85" s="13" t="s">
        <v>811</v>
      </c>
      <c r="F85" s="13" t="s">
        <v>812</v>
      </c>
      <c r="G85" s="13" t="s">
        <v>813</v>
      </c>
      <c r="H85" s="13" t="s">
        <v>814</v>
      </c>
      <c r="I85" s="15" t="s">
        <v>634</v>
      </c>
      <c r="J85" s="13" t="s">
        <v>813</v>
      </c>
      <c r="K85" s="14" t="s">
        <v>44</v>
      </c>
    </row>
    <row r="86" customFormat="false" ht="23.85" hidden="false" customHeight="false" outlineLevel="0" collapsed="false">
      <c r="A86" s="13" t="s">
        <v>815</v>
      </c>
      <c r="B86" s="13" t="s">
        <v>692</v>
      </c>
      <c r="C86" s="13" t="s">
        <v>773</v>
      </c>
      <c r="D86" s="13" t="s">
        <v>816</v>
      </c>
      <c r="E86" s="13" t="s">
        <v>817</v>
      </c>
      <c r="F86" s="13" t="s">
        <v>818</v>
      </c>
      <c r="G86" s="13" t="s">
        <v>819</v>
      </c>
      <c r="H86" s="13" t="s">
        <v>819</v>
      </c>
      <c r="I86" s="14" t="s">
        <v>44</v>
      </c>
      <c r="J86" s="13" t="s">
        <v>819</v>
      </c>
      <c r="K86" s="14" t="s">
        <v>44</v>
      </c>
    </row>
    <row r="87" customFormat="false" ht="15" hidden="false" customHeight="false" outlineLevel="0" collapsed="false">
      <c r="A87" s="13" t="s">
        <v>820</v>
      </c>
      <c r="B87" s="13" t="s">
        <v>821</v>
      </c>
      <c r="C87" s="13" t="s">
        <v>458</v>
      </c>
      <c r="D87" s="13" t="s">
        <v>822</v>
      </c>
      <c r="E87" s="13" t="s">
        <v>823</v>
      </c>
      <c r="F87" s="13" t="s">
        <v>824</v>
      </c>
      <c r="G87" s="13" t="s">
        <v>825</v>
      </c>
      <c r="H87" s="13" t="s">
        <v>825</v>
      </c>
      <c r="I87" s="14" t="s">
        <v>44</v>
      </c>
      <c r="J87" s="13" t="s">
        <v>825</v>
      </c>
      <c r="K87" s="14" t="s">
        <v>44</v>
      </c>
    </row>
    <row r="88" customFormat="false" ht="15" hidden="false" customHeight="false" outlineLevel="0" collapsed="false">
      <c r="A88" s="13" t="s">
        <v>826</v>
      </c>
      <c r="B88" s="13" t="s">
        <v>821</v>
      </c>
      <c r="C88" s="13" t="s">
        <v>458</v>
      </c>
      <c r="D88" s="13" t="s">
        <v>822</v>
      </c>
      <c r="E88" s="13" t="s">
        <v>827</v>
      </c>
      <c r="F88" s="13" t="s">
        <v>828</v>
      </c>
      <c r="G88" s="13" t="s">
        <v>829</v>
      </c>
      <c r="H88" s="13" t="s">
        <v>829</v>
      </c>
      <c r="I88" s="14" t="s">
        <v>44</v>
      </c>
      <c r="J88" s="13" t="s">
        <v>829</v>
      </c>
      <c r="K88" s="14" t="s">
        <v>44</v>
      </c>
    </row>
    <row r="89" customFormat="false" ht="15" hidden="false" customHeight="false" outlineLevel="0" collapsed="false">
      <c r="A89" s="13" t="s">
        <v>830</v>
      </c>
      <c r="B89" s="13" t="s">
        <v>821</v>
      </c>
      <c r="C89" s="13" t="s">
        <v>458</v>
      </c>
      <c r="D89" s="13" t="s">
        <v>822</v>
      </c>
      <c r="E89" s="13" t="s">
        <v>831</v>
      </c>
      <c r="F89" s="13" t="s">
        <v>832</v>
      </c>
      <c r="G89" s="13" t="s">
        <v>833</v>
      </c>
      <c r="H89" s="13" t="s">
        <v>833</v>
      </c>
      <c r="I89" s="14" t="s">
        <v>44</v>
      </c>
      <c r="J89" s="13" t="s">
        <v>833</v>
      </c>
      <c r="K89" s="14" t="s">
        <v>44</v>
      </c>
    </row>
    <row r="90" customFormat="false" ht="15" hidden="false" customHeight="false" outlineLevel="0" collapsed="false">
      <c r="A90" s="13" t="s">
        <v>834</v>
      </c>
      <c r="B90" s="13" t="s">
        <v>821</v>
      </c>
      <c r="C90" s="13" t="s">
        <v>458</v>
      </c>
      <c r="D90" s="13" t="s">
        <v>822</v>
      </c>
      <c r="E90" s="13" t="s">
        <v>835</v>
      </c>
      <c r="F90" s="13" t="s">
        <v>836</v>
      </c>
      <c r="G90" s="13" t="s">
        <v>825</v>
      </c>
      <c r="H90" s="13" t="s">
        <v>825</v>
      </c>
      <c r="I90" s="14" t="s">
        <v>44</v>
      </c>
      <c r="J90" s="13" t="s">
        <v>825</v>
      </c>
      <c r="K90" s="14" t="s">
        <v>44</v>
      </c>
    </row>
    <row r="91" customFormat="false" ht="23.85" hidden="false" customHeight="false" outlineLevel="0" collapsed="false">
      <c r="A91" s="13" t="s">
        <v>837</v>
      </c>
      <c r="B91" s="13" t="s">
        <v>821</v>
      </c>
      <c r="C91" s="13" t="s">
        <v>487</v>
      </c>
      <c r="D91" s="13" t="s">
        <v>838</v>
      </c>
      <c r="E91" s="13" t="s">
        <v>839</v>
      </c>
      <c r="F91" s="13" t="s">
        <v>840</v>
      </c>
      <c r="G91" s="13" t="s">
        <v>841</v>
      </c>
      <c r="H91" s="13" t="s">
        <v>841</v>
      </c>
      <c r="I91" s="14" t="s">
        <v>44</v>
      </c>
      <c r="J91" s="13" t="s">
        <v>841</v>
      </c>
      <c r="K91" s="14" t="s">
        <v>44</v>
      </c>
    </row>
    <row r="92" customFormat="false" ht="15" hidden="false" customHeight="false" outlineLevel="0" collapsed="false">
      <c r="A92" s="13" t="s">
        <v>842</v>
      </c>
      <c r="B92" s="13" t="s">
        <v>821</v>
      </c>
      <c r="C92" s="13" t="s">
        <v>487</v>
      </c>
      <c r="D92" s="13" t="s">
        <v>843</v>
      </c>
      <c r="E92" s="13" t="s">
        <v>844</v>
      </c>
      <c r="F92" s="13" t="s">
        <v>845</v>
      </c>
      <c r="G92" s="13" t="s">
        <v>846</v>
      </c>
      <c r="H92" s="13" t="s">
        <v>846</v>
      </c>
      <c r="I92" s="14" t="s">
        <v>44</v>
      </c>
      <c r="J92" s="13" t="s">
        <v>846</v>
      </c>
      <c r="K92" s="14" t="s">
        <v>44</v>
      </c>
    </row>
    <row r="93" customFormat="false" ht="15" hidden="false" customHeight="false" outlineLevel="0" collapsed="false">
      <c r="A93" s="13" t="s">
        <v>847</v>
      </c>
      <c r="B93" s="13" t="s">
        <v>821</v>
      </c>
      <c r="C93" s="13" t="s">
        <v>773</v>
      </c>
      <c r="D93" s="13" t="s">
        <v>848</v>
      </c>
      <c r="E93" s="13" t="s">
        <v>849</v>
      </c>
      <c r="F93" s="13" t="s">
        <v>850</v>
      </c>
      <c r="G93" s="13" t="s">
        <v>819</v>
      </c>
      <c r="H93" s="13" t="s">
        <v>819</v>
      </c>
      <c r="I93" s="14" t="s">
        <v>44</v>
      </c>
      <c r="J93" s="13" t="s">
        <v>819</v>
      </c>
      <c r="K93" s="14" t="s">
        <v>44</v>
      </c>
    </row>
    <row r="94" customFormat="false" ht="15" hidden="false" customHeight="false" outlineLevel="0" collapsed="false">
      <c r="A94" s="13" t="s">
        <v>851</v>
      </c>
      <c r="B94" s="13" t="s">
        <v>821</v>
      </c>
      <c r="C94" s="13" t="s">
        <v>852</v>
      </c>
      <c r="D94" s="13" t="s">
        <v>853</v>
      </c>
      <c r="E94" s="13" t="s">
        <v>854</v>
      </c>
      <c r="F94" s="13" t="s">
        <v>855</v>
      </c>
      <c r="G94" s="13" t="s">
        <v>856</v>
      </c>
      <c r="H94" s="13" t="s">
        <v>856</v>
      </c>
      <c r="I94" s="14" t="s">
        <v>44</v>
      </c>
      <c r="J94" s="13" t="s">
        <v>856</v>
      </c>
      <c r="K94" s="14" t="s">
        <v>44</v>
      </c>
    </row>
    <row r="95" customFormat="false" ht="23.85" hidden="false" customHeight="false" outlineLevel="0" collapsed="false">
      <c r="A95" s="13" t="s">
        <v>857</v>
      </c>
      <c r="B95" s="13" t="s">
        <v>821</v>
      </c>
      <c r="C95" s="13" t="s">
        <v>852</v>
      </c>
      <c r="D95" s="13" t="s">
        <v>858</v>
      </c>
      <c r="E95" s="13" t="s">
        <v>859</v>
      </c>
      <c r="F95" s="13" t="s">
        <v>860</v>
      </c>
      <c r="G95" s="13" t="s">
        <v>861</v>
      </c>
      <c r="H95" s="13" t="s">
        <v>861</v>
      </c>
      <c r="I95" s="14" t="s">
        <v>44</v>
      </c>
      <c r="J95" s="13" t="s">
        <v>861</v>
      </c>
      <c r="K95" s="14" t="s">
        <v>44</v>
      </c>
    </row>
    <row r="96" customFormat="false" ht="15" hidden="false" customHeight="false" outlineLevel="0" collapsed="false">
      <c r="A96" s="13" t="s">
        <v>862</v>
      </c>
      <c r="B96" s="13" t="s">
        <v>821</v>
      </c>
      <c r="C96" s="13" t="s">
        <v>773</v>
      </c>
      <c r="D96" s="13" t="s">
        <v>863</v>
      </c>
      <c r="E96" s="13" t="s">
        <v>864</v>
      </c>
      <c r="F96" s="13" t="s">
        <v>865</v>
      </c>
      <c r="G96" s="13" t="s">
        <v>866</v>
      </c>
      <c r="H96" s="13" t="s">
        <v>866</v>
      </c>
      <c r="I96" s="14" t="s">
        <v>44</v>
      </c>
      <c r="J96" s="13" t="s">
        <v>866</v>
      </c>
      <c r="K96" s="14" t="s">
        <v>44</v>
      </c>
    </row>
    <row r="97" customFormat="false" ht="15" hidden="false" customHeight="false" outlineLevel="0" collapsed="false">
      <c r="A97" s="13" t="s">
        <v>867</v>
      </c>
      <c r="B97" s="13" t="s">
        <v>868</v>
      </c>
      <c r="C97" s="13" t="s">
        <v>487</v>
      </c>
      <c r="D97" s="13" t="s">
        <v>869</v>
      </c>
      <c r="E97" s="13" t="s">
        <v>870</v>
      </c>
      <c r="F97" s="13" t="s">
        <v>871</v>
      </c>
      <c r="G97" s="13" t="s">
        <v>872</v>
      </c>
      <c r="H97" s="13" t="s">
        <v>872</v>
      </c>
      <c r="I97" s="14" t="s">
        <v>44</v>
      </c>
      <c r="J97" s="13" t="s">
        <v>872</v>
      </c>
      <c r="K97" s="14" t="s">
        <v>44</v>
      </c>
    </row>
    <row r="98" customFormat="false" ht="15" hidden="false" customHeight="false" outlineLevel="0" collapsed="false">
      <c r="A98" s="13" t="s">
        <v>873</v>
      </c>
      <c r="B98" s="13" t="s">
        <v>868</v>
      </c>
      <c r="C98" s="13" t="s">
        <v>487</v>
      </c>
      <c r="D98" s="13" t="s">
        <v>874</v>
      </c>
      <c r="E98" s="13" t="s">
        <v>875</v>
      </c>
      <c r="F98" s="13" t="s">
        <v>876</v>
      </c>
      <c r="G98" s="13" t="s">
        <v>877</v>
      </c>
      <c r="H98" s="13" t="s">
        <v>877</v>
      </c>
      <c r="I98" s="14" t="s">
        <v>44</v>
      </c>
      <c r="J98" s="13" t="s">
        <v>877</v>
      </c>
      <c r="K98" s="14" t="s">
        <v>44</v>
      </c>
    </row>
    <row r="99" customFormat="false" ht="23.85" hidden="false" customHeight="false" outlineLevel="0" collapsed="false">
      <c r="A99" s="13" t="s">
        <v>878</v>
      </c>
      <c r="B99" s="13" t="s">
        <v>868</v>
      </c>
      <c r="C99" s="13" t="s">
        <v>458</v>
      </c>
      <c r="D99" s="13" t="s">
        <v>879</v>
      </c>
      <c r="E99" s="13" t="s">
        <v>880</v>
      </c>
      <c r="F99" s="13" t="s">
        <v>881</v>
      </c>
      <c r="G99" s="13" t="s">
        <v>882</v>
      </c>
      <c r="H99" s="13" t="s">
        <v>882</v>
      </c>
      <c r="I99" s="14" t="s">
        <v>44</v>
      </c>
      <c r="J99" s="13" t="s">
        <v>882</v>
      </c>
      <c r="K99" s="14" t="s">
        <v>44</v>
      </c>
    </row>
    <row r="100" customFormat="false" ht="23.85" hidden="false" customHeight="false" outlineLevel="0" collapsed="false">
      <c r="A100" s="13" t="s">
        <v>883</v>
      </c>
      <c r="B100" s="13" t="s">
        <v>868</v>
      </c>
      <c r="C100" s="13" t="s">
        <v>430</v>
      </c>
      <c r="D100" s="13" t="s">
        <v>884</v>
      </c>
      <c r="E100" s="13" t="s">
        <v>885</v>
      </c>
      <c r="F100" s="13" t="s">
        <v>886</v>
      </c>
      <c r="G100" s="13" t="s">
        <v>887</v>
      </c>
      <c r="H100" s="13" t="s">
        <v>887</v>
      </c>
      <c r="I100" s="14" t="s">
        <v>44</v>
      </c>
      <c r="J100" s="13" t="s">
        <v>887</v>
      </c>
      <c r="K100" s="14" t="s">
        <v>44</v>
      </c>
    </row>
    <row r="101" customFormat="false" ht="23.85" hidden="false" customHeight="false" outlineLevel="0" collapsed="false">
      <c r="A101" s="13" t="s">
        <v>888</v>
      </c>
      <c r="B101" s="13" t="s">
        <v>868</v>
      </c>
      <c r="C101" s="13" t="s">
        <v>487</v>
      </c>
      <c r="D101" s="13" t="s">
        <v>889</v>
      </c>
      <c r="E101" s="13" t="s">
        <v>890</v>
      </c>
      <c r="F101" s="13" t="s">
        <v>891</v>
      </c>
      <c r="G101" s="13" t="s">
        <v>892</v>
      </c>
      <c r="H101" s="13" t="s">
        <v>892</v>
      </c>
      <c r="I101" s="14" t="s">
        <v>44</v>
      </c>
      <c r="J101" s="13" t="s">
        <v>892</v>
      </c>
      <c r="K101" s="14" t="s">
        <v>44</v>
      </c>
    </row>
    <row r="102" customFormat="false" ht="15" hidden="false" customHeight="false" outlineLevel="0" collapsed="false">
      <c r="A102" s="13" t="s">
        <v>893</v>
      </c>
      <c r="B102" s="13" t="s">
        <v>894</v>
      </c>
      <c r="C102" s="13" t="s">
        <v>458</v>
      </c>
      <c r="D102" s="13" t="s">
        <v>895</v>
      </c>
      <c r="E102" s="13" t="s">
        <v>896</v>
      </c>
      <c r="F102" s="13" t="s">
        <v>897</v>
      </c>
      <c r="G102" s="13" t="s">
        <v>825</v>
      </c>
      <c r="H102" s="13" t="s">
        <v>825</v>
      </c>
      <c r="I102" s="14" t="s">
        <v>44</v>
      </c>
      <c r="J102" s="13" t="s">
        <v>825</v>
      </c>
      <c r="K102" s="14" t="s">
        <v>44</v>
      </c>
    </row>
    <row r="103" customFormat="false" ht="23.85" hidden="false" customHeight="false" outlineLevel="0" collapsed="false">
      <c r="A103" s="13" t="s">
        <v>898</v>
      </c>
      <c r="B103" s="13" t="s">
        <v>894</v>
      </c>
      <c r="C103" s="13" t="s">
        <v>458</v>
      </c>
      <c r="D103" s="13" t="s">
        <v>895</v>
      </c>
      <c r="E103" s="13" t="s">
        <v>899</v>
      </c>
      <c r="F103" s="13" t="s">
        <v>900</v>
      </c>
      <c r="G103" s="13" t="s">
        <v>901</v>
      </c>
      <c r="H103" s="13" t="s">
        <v>901</v>
      </c>
      <c r="I103" s="14" t="s">
        <v>44</v>
      </c>
      <c r="J103" s="13" t="s">
        <v>901</v>
      </c>
      <c r="K103" s="14" t="s">
        <v>44</v>
      </c>
    </row>
    <row r="104" customFormat="false" ht="15" hidden="false" customHeight="false" outlineLevel="0" collapsed="false">
      <c r="A104" s="13" t="s">
        <v>902</v>
      </c>
      <c r="B104" s="13" t="s">
        <v>894</v>
      </c>
      <c r="C104" s="13" t="s">
        <v>458</v>
      </c>
      <c r="D104" s="13" t="s">
        <v>895</v>
      </c>
      <c r="E104" s="13" t="s">
        <v>903</v>
      </c>
      <c r="F104" s="13" t="s">
        <v>904</v>
      </c>
      <c r="G104" s="13" t="s">
        <v>905</v>
      </c>
      <c r="H104" s="13" t="s">
        <v>905</v>
      </c>
      <c r="I104" s="14" t="s">
        <v>44</v>
      </c>
      <c r="J104" s="13" t="s">
        <v>905</v>
      </c>
      <c r="K104" s="14" t="s">
        <v>44</v>
      </c>
    </row>
    <row r="105" customFormat="false" ht="15" hidden="false" customHeight="false" outlineLevel="0" collapsed="false">
      <c r="A105" s="13" t="s">
        <v>906</v>
      </c>
      <c r="B105" s="13" t="s">
        <v>894</v>
      </c>
      <c r="C105" s="13" t="s">
        <v>458</v>
      </c>
      <c r="D105" s="13" t="s">
        <v>895</v>
      </c>
      <c r="E105" s="13" t="s">
        <v>907</v>
      </c>
      <c r="F105" s="13" t="s">
        <v>836</v>
      </c>
      <c r="G105" s="13" t="s">
        <v>701</v>
      </c>
      <c r="H105" s="13" t="s">
        <v>701</v>
      </c>
      <c r="I105" s="14" t="s">
        <v>44</v>
      </c>
      <c r="J105" s="13" t="s">
        <v>701</v>
      </c>
      <c r="K105" s="14" t="s">
        <v>44</v>
      </c>
    </row>
    <row r="106" customFormat="false" ht="15" hidden="false" customHeight="false" outlineLevel="0" collapsed="false">
      <c r="A106" s="13" t="s">
        <v>908</v>
      </c>
      <c r="B106" s="13" t="s">
        <v>894</v>
      </c>
      <c r="C106" s="13" t="s">
        <v>487</v>
      </c>
      <c r="D106" s="13" t="s">
        <v>909</v>
      </c>
      <c r="E106" s="13" t="s">
        <v>910</v>
      </c>
      <c r="F106" s="13" t="s">
        <v>911</v>
      </c>
      <c r="G106" s="13" t="s">
        <v>912</v>
      </c>
      <c r="H106" s="13" t="s">
        <v>912</v>
      </c>
      <c r="I106" s="14" t="s">
        <v>44</v>
      </c>
      <c r="J106" s="13" t="s">
        <v>912</v>
      </c>
      <c r="K106" s="14" t="s">
        <v>44</v>
      </c>
    </row>
    <row r="107" customFormat="false" ht="23.85" hidden="false" customHeight="false" outlineLevel="0" collapsed="false">
      <c r="A107" s="13" t="s">
        <v>913</v>
      </c>
      <c r="B107" s="13" t="s">
        <v>894</v>
      </c>
      <c r="C107" s="13" t="s">
        <v>430</v>
      </c>
      <c r="D107" s="13" t="s">
        <v>914</v>
      </c>
      <c r="E107" s="13" t="s">
        <v>915</v>
      </c>
      <c r="F107" s="13" t="s">
        <v>916</v>
      </c>
      <c r="G107" s="13" t="s">
        <v>917</v>
      </c>
      <c r="H107" s="13" t="s">
        <v>917</v>
      </c>
      <c r="I107" s="14" t="s">
        <v>44</v>
      </c>
      <c r="J107" s="13" t="s">
        <v>917</v>
      </c>
      <c r="K107" s="14" t="s">
        <v>44</v>
      </c>
    </row>
    <row r="108" customFormat="false" ht="15" hidden="false" customHeight="false" outlineLevel="0" collapsed="false">
      <c r="A108" s="13" t="s">
        <v>918</v>
      </c>
      <c r="B108" s="13" t="s">
        <v>894</v>
      </c>
      <c r="C108" s="13" t="s">
        <v>458</v>
      </c>
      <c r="D108" s="13" t="s">
        <v>919</v>
      </c>
      <c r="E108" s="13" t="s">
        <v>920</v>
      </c>
      <c r="F108" s="13" t="s">
        <v>921</v>
      </c>
      <c r="G108" s="13" t="s">
        <v>922</v>
      </c>
      <c r="H108" s="13" t="s">
        <v>922</v>
      </c>
      <c r="I108" s="14" t="s">
        <v>44</v>
      </c>
      <c r="J108" s="13" t="s">
        <v>922</v>
      </c>
      <c r="K108" s="14" t="s">
        <v>44</v>
      </c>
    </row>
    <row r="109" customFormat="false" ht="15" hidden="false" customHeight="false" outlineLevel="0" collapsed="false">
      <c r="A109" s="13" t="s">
        <v>923</v>
      </c>
      <c r="B109" s="13" t="s">
        <v>894</v>
      </c>
      <c r="C109" s="13" t="s">
        <v>458</v>
      </c>
      <c r="D109" s="13" t="s">
        <v>924</v>
      </c>
      <c r="E109" s="13" t="s">
        <v>925</v>
      </c>
      <c r="F109" s="13" t="s">
        <v>926</v>
      </c>
      <c r="G109" s="13" t="s">
        <v>927</v>
      </c>
      <c r="H109" s="13" t="s">
        <v>927</v>
      </c>
      <c r="I109" s="14" t="s">
        <v>44</v>
      </c>
      <c r="J109" s="13" t="s">
        <v>927</v>
      </c>
      <c r="K109" s="14" t="s">
        <v>44</v>
      </c>
    </row>
    <row r="110" customFormat="false" ht="15" hidden="false" customHeight="false" outlineLevel="0" collapsed="false">
      <c r="A110" s="13" t="s">
        <v>928</v>
      </c>
      <c r="B110" s="13" t="s">
        <v>894</v>
      </c>
      <c r="C110" s="13" t="s">
        <v>773</v>
      </c>
      <c r="D110" s="13" t="s">
        <v>929</v>
      </c>
      <c r="E110" s="13" t="s">
        <v>930</v>
      </c>
      <c r="F110" s="13" t="s">
        <v>931</v>
      </c>
      <c r="G110" s="13" t="s">
        <v>819</v>
      </c>
      <c r="H110" s="13" t="s">
        <v>819</v>
      </c>
      <c r="I110" s="14" t="s">
        <v>44</v>
      </c>
      <c r="J110" s="13" t="s">
        <v>819</v>
      </c>
      <c r="K110" s="14" t="s">
        <v>44</v>
      </c>
    </row>
    <row r="111" customFormat="false" ht="23.85" hidden="false" customHeight="false" outlineLevel="0" collapsed="false">
      <c r="A111" s="13" t="s">
        <v>932</v>
      </c>
      <c r="B111" s="13" t="s">
        <v>894</v>
      </c>
      <c r="C111" s="13" t="s">
        <v>430</v>
      </c>
      <c r="D111" s="13" t="s">
        <v>933</v>
      </c>
      <c r="E111" s="13" t="s">
        <v>934</v>
      </c>
      <c r="F111" s="13" t="s">
        <v>935</v>
      </c>
      <c r="G111" s="13" t="s">
        <v>936</v>
      </c>
      <c r="H111" s="13" t="s">
        <v>936</v>
      </c>
      <c r="I111" s="14" t="s">
        <v>44</v>
      </c>
      <c r="J111" s="13" t="s">
        <v>936</v>
      </c>
      <c r="K111" s="14" t="s">
        <v>44</v>
      </c>
    </row>
    <row r="112" customFormat="false" ht="15" hidden="false" customHeight="false" outlineLevel="0" collapsed="false">
      <c r="A112" s="13" t="s">
        <v>937</v>
      </c>
      <c r="B112" s="13" t="s">
        <v>894</v>
      </c>
      <c r="C112" s="13" t="s">
        <v>430</v>
      </c>
      <c r="D112" s="13" t="s">
        <v>938</v>
      </c>
      <c r="E112" s="13" t="s">
        <v>939</v>
      </c>
      <c r="F112" s="13" t="s">
        <v>940</v>
      </c>
      <c r="G112" s="13" t="s">
        <v>941</v>
      </c>
      <c r="H112" s="13" t="s">
        <v>941</v>
      </c>
      <c r="I112" s="14" t="s">
        <v>44</v>
      </c>
      <c r="J112" s="13" t="s">
        <v>941</v>
      </c>
      <c r="K112" s="14" t="s">
        <v>44</v>
      </c>
    </row>
    <row r="113" customFormat="false" ht="23.85" hidden="false" customHeight="false" outlineLevel="0" collapsed="false">
      <c r="A113" s="13" t="s">
        <v>942</v>
      </c>
      <c r="B113" s="13" t="s">
        <v>894</v>
      </c>
      <c r="C113" s="13" t="s">
        <v>430</v>
      </c>
      <c r="D113" s="13" t="s">
        <v>943</v>
      </c>
      <c r="E113" s="13" t="s">
        <v>944</v>
      </c>
      <c r="F113" s="13" t="s">
        <v>945</v>
      </c>
      <c r="G113" s="13" t="s">
        <v>946</v>
      </c>
      <c r="H113" s="13" t="s">
        <v>946</v>
      </c>
      <c r="I113" s="14" t="s">
        <v>44</v>
      </c>
      <c r="J113" s="13" t="s">
        <v>946</v>
      </c>
      <c r="K113" s="14" t="s">
        <v>44</v>
      </c>
    </row>
    <row r="114" customFormat="false" ht="23.85" hidden="false" customHeight="false" outlineLevel="0" collapsed="false">
      <c r="A114" s="13" t="s">
        <v>947</v>
      </c>
      <c r="B114" s="13" t="s">
        <v>894</v>
      </c>
      <c r="C114" s="13" t="s">
        <v>458</v>
      </c>
      <c r="D114" s="13" t="s">
        <v>948</v>
      </c>
      <c r="E114" s="13" t="s">
        <v>949</v>
      </c>
      <c r="F114" s="13" t="s">
        <v>950</v>
      </c>
      <c r="G114" s="13" t="s">
        <v>951</v>
      </c>
      <c r="H114" s="13" t="s">
        <v>951</v>
      </c>
      <c r="I114" s="14" t="s">
        <v>44</v>
      </c>
      <c r="J114" s="13" t="s">
        <v>951</v>
      </c>
      <c r="K114" s="14" t="s">
        <v>44</v>
      </c>
    </row>
    <row r="115" customFormat="false" ht="35.05" hidden="false" customHeight="false" outlineLevel="0" collapsed="false">
      <c r="A115" s="13" t="s">
        <v>952</v>
      </c>
      <c r="B115" s="13" t="s">
        <v>894</v>
      </c>
      <c r="C115" s="13" t="s">
        <v>458</v>
      </c>
      <c r="D115" s="13" t="s">
        <v>953</v>
      </c>
      <c r="E115" s="13" t="s">
        <v>954</v>
      </c>
      <c r="F115" s="13" t="s">
        <v>955</v>
      </c>
      <c r="G115" s="13" t="s">
        <v>956</v>
      </c>
      <c r="H115" s="13" t="s">
        <v>956</v>
      </c>
      <c r="I115" s="14" t="s">
        <v>44</v>
      </c>
      <c r="J115" s="13" t="s">
        <v>956</v>
      </c>
      <c r="K115" s="14" t="s">
        <v>44</v>
      </c>
    </row>
    <row r="116" customFormat="false" ht="23.85" hidden="false" customHeight="false" outlineLevel="0" collapsed="false">
      <c r="A116" s="13" t="s">
        <v>957</v>
      </c>
      <c r="B116" s="13" t="s">
        <v>894</v>
      </c>
      <c r="C116" s="13" t="s">
        <v>458</v>
      </c>
      <c r="D116" s="13" t="s">
        <v>958</v>
      </c>
      <c r="E116" s="13" t="s">
        <v>959</v>
      </c>
      <c r="F116" s="13" t="s">
        <v>960</v>
      </c>
      <c r="G116" s="13" t="s">
        <v>961</v>
      </c>
      <c r="H116" s="13" t="s">
        <v>961</v>
      </c>
      <c r="I116" s="14" t="s">
        <v>44</v>
      </c>
      <c r="J116" s="13" t="s">
        <v>961</v>
      </c>
      <c r="K116" s="14" t="s">
        <v>44</v>
      </c>
    </row>
    <row r="117" customFormat="false" ht="23.85" hidden="false" customHeight="false" outlineLevel="0" collapsed="false">
      <c r="A117" s="13" t="s">
        <v>962</v>
      </c>
      <c r="B117" s="13" t="s">
        <v>894</v>
      </c>
      <c r="C117" s="13" t="s">
        <v>773</v>
      </c>
      <c r="D117" s="13" t="s">
        <v>963</v>
      </c>
      <c r="E117" s="13" t="s">
        <v>964</v>
      </c>
      <c r="F117" s="13" t="s">
        <v>965</v>
      </c>
      <c r="G117" s="13" t="s">
        <v>966</v>
      </c>
      <c r="H117" s="13" t="s">
        <v>966</v>
      </c>
      <c r="I117" s="14" t="s">
        <v>44</v>
      </c>
      <c r="J117" s="13" t="s">
        <v>966</v>
      </c>
      <c r="K117" s="14" t="s">
        <v>44</v>
      </c>
    </row>
    <row r="118" customFormat="false" ht="23.85" hidden="false" customHeight="false" outlineLevel="0" collapsed="false">
      <c r="A118" s="13" t="s">
        <v>967</v>
      </c>
      <c r="B118" s="13" t="s">
        <v>894</v>
      </c>
      <c r="C118" s="13" t="s">
        <v>852</v>
      </c>
      <c r="D118" s="13" t="s">
        <v>968</v>
      </c>
      <c r="E118" s="13" t="s">
        <v>969</v>
      </c>
      <c r="F118" s="13" t="s">
        <v>970</v>
      </c>
      <c r="G118" s="13" t="s">
        <v>971</v>
      </c>
      <c r="H118" s="13" t="s">
        <v>971</v>
      </c>
      <c r="I118" s="14" t="s">
        <v>44</v>
      </c>
      <c r="J118" s="13" t="s">
        <v>971</v>
      </c>
      <c r="K118" s="14" t="s">
        <v>44</v>
      </c>
    </row>
    <row r="119" customFormat="false" ht="23.85" hidden="false" customHeight="false" outlineLevel="0" collapsed="false">
      <c r="A119" s="13" t="s">
        <v>972</v>
      </c>
      <c r="B119" s="13" t="s">
        <v>973</v>
      </c>
      <c r="C119" s="13" t="s">
        <v>458</v>
      </c>
      <c r="D119" s="13" t="s">
        <v>974</v>
      </c>
      <c r="E119" s="13" t="s">
        <v>975</v>
      </c>
      <c r="F119" s="13" t="s">
        <v>976</v>
      </c>
      <c r="G119" s="13" t="s">
        <v>977</v>
      </c>
      <c r="H119" s="13" t="s">
        <v>977</v>
      </c>
      <c r="I119" s="14" t="s">
        <v>44</v>
      </c>
      <c r="J119" s="13" t="s">
        <v>977</v>
      </c>
      <c r="K119" s="14" t="s">
        <v>44</v>
      </c>
    </row>
    <row r="120" customFormat="false" ht="23.85" hidden="false" customHeight="false" outlineLevel="0" collapsed="false">
      <c r="A120" s="13" t="s">
        <v>978</v>
      </c>
      <c r="B120" s="13" t="s">
        <v>973</v>
      </c>
      <c r="C120" s="13" t="s">
        <v>458</v>
      </c>
      <c r="D120" s="13" t="s">
        <v>974</v>
      </c>
      <c r="E120" s="13" t="s">
        <v>979</v>
      </c>
      <c r="F120" s="13" t="s">
        <v>980</v>
      </c>
      <c r="G120" s="13" t="s">
        <v>981</v>
      </c>
      <c r="H120" s="13" t="s">
        <v>981</v>
      </c>
      <c r="I120" s="14" t="s">
        <v>44</v>
      </c>
      <c r="J120" s="13" t="s">
        <v>981</v>
      </c>
      <c r="K120" s="14" t="s">
        <v>44</v>
      </c>
    </row>
    <row r="121" customFormat="false" ht="23.85" hidden="false" customHeight="false" outlineLevel="0" collapsed="false">
      <c r="A121" s="13" t="s">
        <v>982</v>
      </c>
      <c r="B121" s="13" t="s">
        <v>973</v>
      </c>
      <c r="C121" s="13" t="s">
        <v>458</v>
      </c>
      <c r="D121" s="13" t="s">
        <v>974</v>
      </c>
      <c r="E121" s="13" t="s">
        <v>983</v>
      </c>
      <c r="F121" s="13" t="s">
        <v>984</v>
      </c>
      <c r="G121" s="13" t="s">
        <v>981</v>
      </c>
      <c r="H121" s="13" t="s">
        <v>981</v>
      </c>
      <c r="I121" s="14" t="s">
        <v>44</v>
      </c>
      <c r="J121" s="13" t="s">
        <v>981</v>
      </c>
      <c r="K121" s="14" t="s">
        <v>44</v>
      </c>
    </row>
    <row r="122" customFormat="false" ht="23.85" hidden="false" customHeight="false" outlineLevel="0" collapsed="false">
      <c r="A122" s="13" t="s">
        <v>985</v>
      </c>
      <c r="B122" s="13" t="s">
        <v>973</v>
      </c>
      <c r="C122" s="13" t="s">
        <v>458</v>
      </c>
      <c r="D122" s="13" t="s">
        <v>974</v>
      </c>
      <c r="E122" s="13" t="s">
        <v>986</v>
      </c>
      <c r="F122" s="13" t="s">
        <v>987</v>
      </c>
      <c r="G122" s="13" t="s">
        <v>988</v>
      </c>
      <c r="H122" s="13" t="s">
        <v>988</v>
      </c>
      <c r="I122" s="14" t="s">
        <v>44</v>
      </c>
      <c r="J122" s="13" t="s">
        <v>988</v>
      </c>
      <c r="K122" s="14" t="s">
        <v>44</v>
      </c>
    </row>
    <row r="123" customFormat="false" ht="23.85" hidden="false" customHeight="false" outlineLevel="0" collapsed="false">
      <c r="A123" s="13" t="s">
        <v>989</v>
      </c>
      <c r="B123" s="13" t="s">
        <v>973</v>
      </c>
      <c r="C123" s="13" t="s">
        <v>458</v>
      </c>
      <c r="D123" s="13" t="s">
        <v>974</v>
      </c>
      <c r="E123" s="13" t="s">
        <v>990</v>
      </c>
      <c r="F123" s="13" t="s">
        <v>991</v>
      </c>
      <c r="G123" s="13" t="s">
        <v>988</v>
      </c>
      <c r="H123" s="13" t="s">
        <v>988</v>
      </c>
      <c r="I123" s="14" t="s">
        <v>44</v>
      </c>
      <c r="J123" s="13" t="s">
        <v>988</v>
      </c>
      <c r="K123" s="14" t="s">
        <v>44</v>
      </c>
    </row>
    <row r="124" customFormat="false" ht="23.85" hidden="false" customHeight="false" outlineLevel="0" collapsed="false">
      <c r="A124" s="13" t="s">
        <v>992</v>
      </c>
      <c r="B124" s="13" t="s">
        <v>973</v>
      </c>
      <c r="C124" s="13" t="s">
        <v>458</v>
      </c>
      <c r="D124" s="13" t="s">
        <v>974</v>
      </c>
      <c r="E124" s="13" t="s">
        <v>993</v>
      </c>
      <c r="F124" s="13" t="s">
        <v>994</v>
      </c>
      <c r="G124" s="13" t="s">
        <v>995</v>
      </c>
      <c r="H124" s="13" t="s">
        <v>995</v>
      </c>
      <c r="I124" s="14" t="s">
        <v>44</v>
      </c>
      <c r="J124" s="13" t="s">
        <v>995</v>
      </c>
      <c r="K124" s="14" t="s">
        <v>44</v>
      </c>
    </row>
    <row r="125" customFormat="false" ht="15" hidden="false" customHeight="false" outlineLevel="0" collapsed="false">
      <c r="A125" s="13" t="s">
        <v>996</v>
      </c>
      <c r="B125" s="13" t="s">
        <v>997</v>
      </c>
      <c r="C125" s="13" t="s">
        <v>458</v>
      </c>
      <c r="D125" s="13" t="s">
        <v>998</v>
      </c>
      <c r="E125" s="13" t="s">
        <v>999</v>
      </c>
      <c r="F125" s="13" t="s">
        <v>1000</v>
      </c>
      <c r="G125" s="13" t="s">
        <v>701</v>
      </c>
      <c r="H125" s="13" t="s">
        <v>701</v>
      </c>
      <c r="I125" s="14" t="s">
        <v>44</v>
      </c>
      <c r="J125" s="13" t="s">
        <v>701</v>
      </c>
      <c r="K125" s="14" t="s">
        <v>44</v>
      </c>
    </row>
    <row r="126" customFormat="false" ht="15" hidden="false" customHeight="false" outlineLevel="0" collapsed="false">
      <c r="A126" s="13" t="s">
        <v>1001</v>
      </c>
      <c r="B126" s="13" t="s">
        <v>997</v>
      </c>
      <c r="C126" s="13" t="s">
        <v>458</v>
      </c>
      <c r="D126" s="13" t="s">
        <v>998</v>
      </c>
      <c r="E126" s="13" t="s">
        <v>1002</v>
      </c>
      <c r="F126" s="13" t="s">
        <v>1003</v>
      </c>
      <c r="G126" s="13" t="s">
        <v>1004</v>
      </c>
      <c r="H126" s="13" t="s">
        <v>1004</v>
      </c>
      <c r="I126" s="14" t="s">
        <v>44</v>
      </c>
      <c r="J126" s="13" t="s">
        <v>1004</v>
      </c>
      <c r="K126" s="14" t="s">
        <v>44</v>
      </c>
    </row>
    <row r="127" customFormat="false" ht="15" hidden="false" customHeight="false" outlineLevel="0" collapsed="false">
      <c r="A127" s="13" t="s">
        <v>1005</v>
      </c>
      <c r="B127" s="13" t="s">
        <v>997</v>
      </c>
      <c r="C127" s="13" t="s">
        <v>458</v>
      </c>
      <c r="D127" s="13" t="s">
        <v>998</v>
      </c>
      <c r="E127" s="13" t="s">
        <v>1006</v>
      </c>
      <c r="F127" s="13" t="s">
        <v>1007</v>
      </c>
      <c r="G127" s="13" t="s">
        <v>1008</v>
      </c>
      <c r="H127" s="13" t="s">
        <v>1008</v>
      </c>
      <c r="I127" s="14" t="s">
        <v>44</v>
      </c>
      <c r="J127" s="13" t="s">
        <v>1008</v>
      </c>
      <c r="K127" s="14" t="s">
        <v>44</v>
      </c>
    </row>
    <row r="128" customFormat="false" ht="15" hidden="false" customHeight="false" outlineLevel="0" collapsed="false">
      <c r="A128" s="13" t="s">
        <v>1009</v>
      </c>
      <c r="B128" s="13" t="s">
        <v>997</v>
      </c>
      <c r="C128" s="13" t="s">
        <v>458</v>
      </c>
      <c r="D128" s="13" t="s">
        <v>998</v>
      </c>
      <c r="E128" s="13" t="s">
        <v>1010</v>
      </c>
      <c r="F128" s="13" t="s">
        <v>1011</v>
      </c>
      <c r="G128" s="13" t="s">
        <v>701</v>
      </c>
      <c r="H128" s="13" t="s">
        <v>701</v>
      </c>
      <c r="I128" s="14" t="s">
        <v>44</v>
      </c>
      <c r="J128" s="13" t="s">
        <v>701</v>
      </c>
      <c r="K128" s="14" t="s">
        <v>44</v>
      </c>
    </row>
    <row r="129" customFormat="false" ht="15" hidden="false" customHeight="false" outlineLevel="0" collapsed="false">
      <c r="A129" s="13" t="s">
        <v>1012</v>
      </c>
      <c r="B129" s="13" t="s">
        <v>997</v>
      </c>
      <c r="C129" s="13" t="s">
        <v>458</v>
      </c>
      <c r="D129" s="13" t="s">
        <v>1013</v>
      </c>
      <c r="E129" s="13" t="s">
        <v>1014</v>
      </c>
      <c r="F129" s="13" t="s">
        <v>897</v>
      </c>
      <c r="G129" s="13" t="s">
        <v>701</v>
      </c>
      <c r="H129" s="13" t="s">
        <v>701</v>
      </c>
      <c r="I129" s="14" t="s">
        <v>44</v>
      </c>
      <c r="J129" s="13" t="s">
        <v>701</v>
      </c>
      <c r="K129" s="14" t="s">
        <v>44</v>
      </c>
    </row>
    <row r="130" customFormat="false" ht="15" hidden="false" customHeight="false" outlineLevel="0" collapsed="false">
      <c r="A130" s="13" t="s">
        <v>1015</v>
      </c>
      <c r="B130" s="13" t="s">
        <v>997</v>
      </c>
      <c r="C130" s="13" t="s">
        <v>458</v>
      </c>
      <c r="D130" s="13" t="s">
        <v>1013</v>
      </c>
      <c r="E130" s="13" t="s">
        <v>1016</v>
      </c>
      <c r="F130" s="13" t="s">
        <v>1017</v>
      </c>
      <c r="G130" s="13" t="s">
        <v>1004</v>
      </c>
      <c r="H130" s="13" t="s">
        <v>1004</v>
      </c>
      <c r="I130" s="14" t="s">
        <v>44</v>
      </c>
      <c r="J130" s="13" t="s">
        <v>1004</v>
      </c>
      <c r="K130" s="14" t="s">
        <v>44</v>
      </c>
    </row>
    <row r="131" customFormat="false" ht="15" hidden="false" customHeight="false" outlineLevel="0" collapsed="false">
      <c r="A131" s="13" t="s">
        <v>1018</v>
      </c>
      <c r="B131" s="13" t="s">
        <v>997</v>
      </c>
      <c r="C131" s="13" t="s">
        <v>458</v>
      </c>
      <c r="D131" s="13" t="s">
        <v>1013</v>
      </c>
      <c r="E131" s="13" t="s">
        <v>903</v>
      </c>
      <c r="F131" s="13" t="s">
        <v>832</v>
      </c>
      <c r="G131" s="13" t="s">
        <v>1004</v>
      </c>
      <c r="H131" s="13" t="s">
        <v>1004</v>
      </c>
      <c r="I131" s="14" t="s">
        <v>44</v>
      </c>
      <c r="J131" s="13" t="s">
        <v>1004</v>
      </c>
      <c r="K131" s="14" t="s">
        <v>44</v>
      </c>
    </row>
    <row r="132" customFormat="false" ht="15" hidden="false" customHeight="false" outlineLevel="0" collapsed="false">
      <c r="A132" s="13" t="s">
        <v>1019</v>
      </c>
      <c r="B132" s="13" t="s">
        <v>997</v>
      </c>
      <c r="C132" s="13" t="s">
        <v>458</v>
      </c>
      <c r="D132" s="13" t="s">
        <v>1013</v>
      </c>
      <c r="E132" s="13" t="s">
        <v>1020</v>
      </c>
      <c r="F132" s="13" t="s">
        <v>836</v>
      </c>
      <c r="G132" s="13" t="s">
        <v>701</v>
      </c>
      <c r="H132" s="13" t="s">
        <v>701</v>
      </c>
      <c r="I132" s="14" t="s">
        <v>44</v>
      </c>
      <c r="J132" s="13" t="s">
        <v>701</v>
      </c>
      <c r="K132" s="14" t="s">
        <v>44</v>
      </c>
    </row>
    <row r="133" customFormat="false" ht="35.05" hidden="false" customHeight="false" outlineLevel="0" collapsed="false">
      <c r="A133" s="13" t="s">
        <v>1021</v>
      </c>
      <c r="B133" s="13" t="s">
        <v>997</v>
      </c>
      <c r="C133" s="13" t="s">
        <v>458</v>
      </c>
      <c r="D133" s="13" t="s">
        <v>1022</v>
      </c>
      <c r="E133" s="13" t="s">
        <v>1023</v>
      </c>
      <c r="F133" s="13" t="s">
        <v>1024</v>
      </c>
      <c r="G133" s="13" t="s">
        <v>1025</v>
      </c>
      <c r="H133" s="13" t="s">
        <v>1025</v>
      </c>
      <c r="I133" s="14" t="s">
        <v>44</v>
      </c>
      <c r="J133" s="13" t="s">
        <v>1025</v>
      </c>
      <c r="K133" s="14" t="s">
        <v>44</v>
      </c>
    </row>
    <row r="134" customFormat="false" ht="15" hidden="false" customHeight="false" outlineLevel="0" collapsed="false">
      <c r="A134" s="13" t="s">
        <v>1026</v>
      </c>
      <c r="B134" s="13" t="s">
        <v>997</v>
      </c>
      <c r="C134" s="13" t="s">
        <v>487</v>
      </c>
      <c r="D134" s="13" t="s">
        <v>1027</v>
      </c>
      <c r="E134" s="13" t="s">
        <v>1028</v>
      </c>
      <c r="F134" s="13" t="s">
        <v>1029</v>
      </c>
      <c r="G134" s="13" t="s">
        <v>912</v>
      </c>
      <c r="H134" s="13" t="s">
        <v>912</v>
      </c>
      <c r="I134" s="14" t="s">
        <v>44</v>
      </c>
      <c r="J134" s="13" t="s">
        <v>912</v>
      </c>
      <c r="K134" s="14" t="s">
        <v>44</v>
      </c>
    </row>
    <row r="135" customFormat="false" ht="23.85" hidden="false" customHeight="false" outlineLevel="0" collapsed="false">
      <c r="A135" s="13" t="s">
        <v>1030</v>
      </c>
      <c r="B135" s="13" t="s">
        <v>997</v>
      </c>
      <c r="C135" s="13" t="s">
        <v>487</v>
      </c>
      <c r="D135" s="13" t="s">
        <v>1031</v>
      </c>
      <c r="E135" s="13" t="s">
        <v>1032</v>
      </c>
      <c r="F135" s="13" t="s">
        <v>1033</v>
      </c>
      <c r="G135" s="13" t="s">
        <v>1034</v>
      </c>
      <c r="H135" s="13" t="s">
        <v>1034</v>
      </c>
      <c r="I135" s="14" t="s">
        <v>44</v>
      </c>
      <c r="J135" s="13" t="s">
        <v>1034</v>
      </c>
      <c r="K135" s="14" t="s">
        <v>44</v>
      </c>
    </row>
    <row r="136" customFormat="false" ht="35.05" hidden="false" customHeight="false" outlineLevel="0" collapsed="false">
      <c r="A136" s="13" t="s">
        <v>1035</v>
      </c>
      <c r="B136" s="13" t="s">
        <v>997</v>
      </c>
      <c r="C136" s="13" t="s">
        <v>487</v>
      </c>
      <c r="D136" s="13" t="s">
        <v>1036</v>
      </c>
      <c r="E136" s="13" t="s">
        <v>1037</v>
      </c>
      <c r="F136" s="13" t="s">
        <v>1038</v>
      </c>
      <c r="G136" s="13" t="s">
        <v>1039</v>
      </c>
      <c r="H136" s="13" t="s">
        <v>1039</v>
      </c>
      <c r="I136" s="14" t="s">
        <v>44</v>
      </c>
      <c r="J136" s="13" t="s">
        <v>1039</v>
      </c>
      <c r="K136" s="14" t="s">
        <v>44</v>
      </c>
    </row>
    <row r="137" customFormat="false" ht="23.85" hidden="false" customHeight="false" outlineLevel="0" collapsed="false">
      <c r="A137" s="13" t="s">
        <v>1040</v>
      </c>
      <c r="B137" s="13" t="s">
        <v>997</v>
      </c>
      <c r="C137" s="13" t="s">
        <v>458</v>
      </c>
      <c r="D137" s="13" t="s">
        <v>1041</v>
      </c>
      <c r="E137" s="13" t="s">
        <v>1042</v>
      </c>
      <c r="F137" s="13" t="s">
        <v>1043</v>
      </c>
      <c r="G137" s="13" t="s">
        <v>1044</v>
      </c>
      <c r="H137" s="13" t="s">
        <v>1044</v>
      </c>
      <c r="I137" s="14" t="s">
        <v>44</v>
      </c>
      <c r="J137" s="13" t="s">
        <v>1044</v>
      </c>
      <c r="K137" s="14" t="s">
        <v>44</v>
      </c>
    </row>
    <row r="138" customFormat="false" ht="23.85" hidden="false" customHeight="false" outlineLevel="0" collapsed="false">
      <c r="A138" s="13" t="s">
        <v>1045</v>
      </c>
      <c r="B138" s="13" t="s">
        <v>997</v>
      </c>
      <c r="C138" s="13" t="s">
        <v>487</v>
      </c>
      <c r="D138" s="13" t="s">
        <v>1046</v>
      </c>
      <c r="E138" s="13" t="s">
        <v>1047</v>
      </c>
      <c r="F138" s="13" t="s">
        <v>1048</v>
      </c>
      <c r="G138" s="13" t="s">
        <v>1049</v>
      </c>
      <c r="H138" s="13" t="s">
        <v>1050</v>
      </c>
      <c r="I138" s="15" t="s">
        <v>634</v>
      </c>
      <c r="J138" s="13" t="s">
        <v>1049</v>
      </c>
      <c r="K138" s="14" t="s">
        <v>44</v>
      </c>
    </row>
    <row r="139" customFormat="false" ht="15" hidden="false" customHeight="false" outlineLevel="0" collapsed="false">
      <c r="A139" s="13" t="s">
        <v>1051</v>
      </c>
      <c r="B139" s="13" t="s">
        <v>997</v>
      </c>
      <c r="C139" s="13" t="s">
        <v>487</v>
      </c>
      <c r="D139" s="13" t="s">
        <v>1052</v>
      </c>
      <c r="E139" s="13" t="s">
        <v>1053</v>
      </c>
      <c r="F139" s="13" t="s">
        <v>1054</v>
      </c>
      <c r="G139" s="13" t="s">
        <v>1055</v>
      </c>
      <c r="H139" s="13" t="s">
        <v>1055</v>
      </c>
      <c r="I139" s="14" t="s">
        <v>44</v>
      </c>
      <c r="J139" s="13" t="s">
        <v>1055</v>
      </c>
      <c r="K139" s="14" t="s">
        <v>44</v>
      </c>
    </row>
    <row r="140" customFormat="false" ht="15" hidden="false" customHeight="false" outlineLevel="0" collapsed="false">
      <c r="A140" s="13" t="s">
        <v>1056</v>
      </c>
      <c r="B140" s="13" t="s">
        <v>997</v>
      </c>
      <c r="C140" s="13" t="s">
        <v>430</v>
      </c>
      <c r="D140" s="13" t="s">
        <v>1057</v>
      </c>
      <c r="E140" s="13" t="s">
        <v>1058</v>
      </c>
      <c r="F140" s="13" t="s">
        <v>1059</v>
      </c>
      <c r="G140" s="13" t="s">
        <v>1060</v>
      </c>
      <c r="H140" s="13" t="s">
        <v>1060</v>
      </c>
      <c r="I140" s="14" t="s">
        <v>44</v>
      </c>
      <c r="J140" s="13" t="s">
        <v>1060</v>
      </c>
      <c r="K140" s="14" t="s">
        <v>44</v>
      </c>
    </row>
    <row r="141" customFormat="false" ht="15" hidden="false" customHeight="false" outlineLevel="0" collapsed="false">
      <c r="A141" s="13" t="s">
        <v>1061</v>
      </c>
      <c r="B141" s="13" t="s">
        <v>997</v>
      </c>
      <c r="C141" s="13" t="s">
        <v>430</v>
      </c>
      <c r="D141" s="13" t="s">
        <v>1062</v>
      </c>
      <c r="E141" s="13" t="s">
        <v>1063</v>
      </c>
      <c r="F141" s="13" t="s">
        <v>1064</v>
      </c>
      <c r="G141" s="13" t="s">
        <v>1065</v>
      </c>
      <c r="H141" s="13" t="s">
        <v>1065</v>
      </c>
      <c r="I141" s="14" t="s">
        <v>44</v>
      </c>
      <c r="J141" s="13" t="s">
        <v>1065</v>
      </c>
      <c r="K141" s="14" t="s">
        <v>44</v>
      </c>
    </row>
    <row r="142" customFormat="false" ht="15" hidden="false" customHeight="false" outlineLevel="0" collapsed="false">
      <c r="A142" s="13" t="s">
        <v>1066</v>
      </c>
      <c r="B142" s="13" t="s">
        <v>997</v>
      </c>
      <c r="C142" s="13" t="s">
        <v>430</v>
      </c>
      <c r="D142" s="13" t="s">
        <v>1067</v>
      </c>
      <c r="E142" s="13" t="s">
        <v>1068</v>
      </c>
      <c r="F142" s="13" t="s">
        <v>1069</v>
      </c>
      <c r="G142" s="13" t="s">
        <v>1070</v>
      </c>
      <c r="H142" s="13" t="s">
        <v>1070</v>
      </c>
      <c r="I142" s="14" t="s">
        <v>44</v>
      </c>
      <c r="J142" s="13" t="s">
        <v>1070</v>
      </c>
      <c r="K142" s="14" t="s">
        <v>44</v>
      </c>
    </row>
    <row r="143" customFormat="false" ht="23.85" hidden="false" customHeight="false" outlineLevel="0" collapsed="false">
      <c r="A143" s="13" t="s">
        <v>1071</v>
      </c>
      <c r="B143" s="13" t="s">
        <v>997</v>
      </c>
      <c r="C143" s="13" t="s">
        <v>430</v>
      </c>
      <c r="D143" s="13" t="s">
        <v>1072</v>
      </c>
      <c r="E143" s="13" t="s">
        <v>1073</v>
      </c>
      <c r="F143" s="13" t="s">
        <v>1074</v>
      </c>
      <c r="G143" s="13" t="s">
        <v>1075</v>
      </c>
      <c r="H143" s="13" t="s">
        <v>1075</v>
      </c>
      <c r="I143" s="14" t="s">
        <v>44</v>
      </c>
      <c r="J143" s="13" t="s">
        <v>1075</v>
      </c>
      <c r="K143" s="14" t="s">
        <v>44</v>
      </c>
    </row>
    <row r="144" customFormat="false" ht="23.85" hidden="false" customHeight="false" outlineLevel="0" collapsed="false">
      <c r="A144" s="13" t="s">
        <v>1076</v>
      </c>
      <c r="B144" s="13" t="s">
        <v>997</v>
      </c>
      <c r="C144" s="13" t="s">
        <v>430</v>
      </c>
      <c r="D144" s="13" t="s">
        <v>1077</v>
      </c>
      <c r="E144" s="13" t="s">
        <v>1078</v>
      </c>
      <c r="F144" s="13" t="s">
        <v>1079</v>
      </c>
      <c r="G144" s="13" t="s">
        <v>1080</v>
      </c>
      <c r="H144" s="13" t="s">
        <v>1080</v>
      </c>
      <c r="I144" s="14" t="s">
        <v>44</v>
      </c>
      <c r="J144" s="13" t="s">
        <v>1080</v>
      </c>
      <c r="K144" s="14" t="s">
        <v>44</v>
      </c>
    </row>
    <row r="145" customFormat="false" ht="23.85" hidden="false" customHeight="false" outlineLevel="0" collapsed="false">
      <c r="A145" s="13" t="s">
        <v>1081</v>
      </c>
      <c r="B145" s="13" t="s">
        <v>997</v>
      </c>
      <c r="C145" s="13" t="s">
        <v>458</v>
      </c>
      <c r="D145" s="13" t="s">
        <v>1082</v>
      </c>
      <c r="E145" s="13" t="s">
        <v>1083</v>
      </c>
      <c r="F145" s="13" t="s">
        <v>1084</v>
      </c>
      <c r="G145" s="13" t="s">
        <v>1085</v>
      </c>
      <c r="H145" s="13" t="s">
        <v>1085</v>
      </c>
      <c r="I145" s="14" t="s">
        <v>44</v>
      </c>
      <c r="J145" s="13" t="s">
        <v>1085</v>
      </c>
      <c r="K145" s="14" t="s">
        <v>44</v>
      </c>
    </row>
    <row r="146" customFormat="false" ht="15" hidden="false" customHeight="false" outlineLevel="0" collapsed="false">
      <c r="A146" s="13" t="s">
        <v>1086</v>
      </c>
      <c r="B146" s="13" t="s">
        <v>997</v>
      </c>
      <c r="C146" s="13" t="s">
        <v>458</v>
      </c>
      <c r="D146" s="13" t="s">
        <v>1087</v>
      </c>
      <c r="E146" s="13" t="s">
        <v>1088</v>
      </c>
      <c r="F146" s="13" t="s">
        <v>1089</v>
      </c>
      <c r="G146" s="13" t="s">
        <v>1090</v>
      </c>
      <c r="H146" s="13" t="s">
        <v>1090</v>
      </c>
      <c r="I146" s="14" t="s">
        <v>44</v>
      </c>
      <c r="J146" s="13" t="s">
        <v>1090</v>
      </c>
      <c r="K146" s="14" t="s">
        <v>44</v>
      </c>
    </row>
    <row r="147" customFormat="false" ht="23.85" hidden="false" customHeight="false" outlineLevel="0" collapsed="false">
      <c r="A147" s="13" t="s">
        <v>1091</v>
      </c>
      <c r="B147" s="13" t="s">
        <v>997</v>
      </c>
      <c r="C147" s="13" t="s">
        <v>458</v>
      </c>
      <c r="D147" s="13" t="s">
        <v>1092</v>
      </c>
      <c r="E147" s="13" t="s">
        <v>1093</v>
      </c>
      <c r="F147" s="13" t="s">
        <v>1094</v>
      </c>
      <c r="G147" s="13" t="s">
        <v>1095</v>
      </c>
      <c r="H147" s="13" t="s">
        <v>1095</v>
      </c>
      <c r="I147" s="14" t="s">
        <v>44</v>
      </c>
      <c r="J147" s="13" t="s">
        <v>1095</v>
      </c>
      <c r="K147" s="14" t="s">
        <v>44</v>
      </c>
    </row>
    <row r="148" customFormat="false" ht="23.85" hidden="false" customHeight="false" outlineLevel="0" collapsed="false">
      <c r="A148" s="13" t="s">
        <v>1096</v>
      </c>
      <c r="B148" s="13" t="s">
        <v>997</v>
      </c>
      <c r="C148" s="13" t="s">
        <v>852</v>
      </c>
      <c r="D148" s="13" t="s">
        <v>1097</v>
      </c>
      <c r="E148" s="13" t="s">
        <v>1098</v>
      </c>
      <c r="F148" s="13" t="s">
        <v>1099</v>
      </c>
      <c r="G148" s="13" t="s">
        <v>1100</v>
      </c>
      <c r="H148" s="13" t="s">
        <v>1100</v>
      </c>
      <c r="I148" s="14" t="s">
        <v>44</v>
      </c>
      <c r="J148" s="13" t="s">
        <v>1100</v>
      </c>
      <c r="K148" s="14" t="s">
        <v>44</v>
      </c>
    </row>
    <row r="149" customFormat="false" ht="23.85" hidden="false" customHeight="false" outlineLevel="0" collapsed="false">
      <c r="A149" s="13" t="s">
        <v>1101</v>
      </c>
      <c r="B149" s="13" t="s">
        <v>997</v>
      </c>
      <c r="C149" s="13" t="s">
        <v>430</v>
      </c>
      <c r="D149" s="13" t="s">
        <v>1102</v>
      </c>
      <c r="E149" s="13" t="s">
        <v>1103</v>
      </c>
      <c r="F149" s="13" t="s">
        <v>1104</v>
      </c>
      <c r="G149" s="13" t="s">
        <v>1105</v>
      </c>
      <c r="H149" s="13" t="s">
        <v>1105</v>
      </c>
      <c r="I149" s="14" t="s">
        <v>44</v>
      </c>
      <c r="J149" s="13" t="s">
        <v>1105</v>
      </c>
      <c r="K149" s="14" t="s">
        <v>44</v>
      </c>
    </row>
    <row r="150" customFormat="false" ht="15" hidden="false" customHeight="false" outlineLevel="0" collapsed="false">
      <c r="A150" s="13" t="s">
        <v>1106</v>
      </c>
      <c r="B150" s="13" t="s">
        <v>997</v>
      </c>
      <c r="C150" s="13" t="s">
        <v>773</v>
      </c>
      <c r="D150" s="13" t="s">
        <v>929</v>
      </c>
      <c r="E150" s="13" t="s">
        <v>930</v>
      </c>
      <c r="F150" s="13" t="s">
        <v>1107</v>
      </c>
      <c r="G150" s="13" t="s">
        <v>819</v>
      </c>
      <c r="H150" s="13" t="s">
        <v>819</v>
      </c>
      <c r="I150" s="14" t="s">
        <v>44</v>
      </c>
      <c r="J150" s="13" t="s">
        <v>819</v>
      </c>
      <c r="K150" s="14" t="s">
        <v>44</v>
      </c>
    </row>
    <row r="151" customFormat="false" ht="23.85" hidden="false" customHeight="false" outlineLevel="0" collapsed="false">
      <c r="A151" s="13" t="s">
        <v>1108</v>
      </c>
      <c r="B151" s="13" t="s">
        <v>997</v>
      </c>
      <c r="C151" s="13" t="s">
        <v>430</v>
      </c>
      <c r="D151" s="13" t="s">
        <v>1109</v>
      </c>
      <c r="E151" s="13" t="s">
        <v>1110</v>
      </c>
      <c r="F151" s="13" t="s">
        <v>1111</v>
      </c>
      <c r="G151" s="13" t="s">
        <v>1112</v>
      </c>
      <c r="H151" s="13" t="s">
        <v>1112</v>
      </c>
      <c r="I151" s="14" t="s">
        <v>44</v>
      </c>
      <c r="J151" s="13" t="s">
        <v>1112</v>
      </c>
      <c r="K151" s="14" t="s">
        <v>44</v>
      </c>
    </row>
    <row r="152" customFormat="false" ht="23.85" hidden="false" customHeight="false" outlineLevel="0" collapsed="false">
      <c r="A152" s="13" t="s">
        <v>1113</v>
      </c>
      <c r="B152" s="13" t="s">
        <v>997</v>
      </c>
      <c r="C152" s="13" t="s">
        <v>458</v>
      </c>
      <c r="D152" s="13" t="s">
        <v>1114</v>
      </c>
      <c r="E152" s="13" t="s">
        <v>1115</v>
      </c>
      <c r="F152" s="13" t="s">
        <v>1116</v>
      </c>
      <c r="G152" s="13" t="s">
        <v>1117</v>
      </c>
      <c r="H152" s="13" t="s">
        <v>1117</v>
      </c>
      <c r="I152" s="14" t="s">
        <v>44</v>
      </c>
      <c r="J152" s="13" t="s">
        <v>1117</v>
      </c>
      <c r="K152" s="14" t="s">
        <v>44</v>
      </c>
    </row>
    <row r="153" customFormat="false" ht="23.85" hidden="false" customHeight="false" outlineLevel="0" collapsed="false">
      <c r="A153" s="13" t="s">
        <v>1118</v>
      </c>
      <c r="B153" s="13" t="s">
        <v>997</v>
      </c>
      <c r="C153" s="13" t="s">
        <v>430</v>
      </c>
      <c r="D153" s="13" t="s">
        <v>1119</v>
      </c>
      <c r="E153" s="13" t="s">
        <v>1120</v>
      </c>
      <c r="F153" s="13" t="s">
        <v>1121</v>
      </c>
      <c r="G153" s="13" t="s">
        <v>1122</v>
      </c>
      <c r="H153" s="13" t="s">
        <v>1122</v>
      </c>
      <c r="I153" s="14" t="s">
        <v>44</v>
      </c>
      <c r="J153" s="13" t="s">
        <v>1122</v>
      </c>
      <c r="K153" s="14" t="s">
        <v>44</v>
      </c>
    </row>
    <row r="154" customFormat="false" ht="23.85" hidden="false" customHeight="false" outlineLevel="0" collapsed="false">
      <c r="A154" s="13" t="s">
        <v>1123</v>
      </c>
      <c r="B154" s="13" t="s">
        <v>997</v>
      </c>
      <c r="C154" s="13" t="s">
        <v>487</v>
      </c>
      <c r="D154" s="13" t="s">
        <v>1124</v>
      </c>
      <c r="E154" s="13" t="s">
        <v>1125</v>
      </c>
      <c r="F154" s="13" t="s">
        <v>1126</v>
      </c>
      <c r="G154" s="13" t="s">
        <v>1127</v>
      </c>
      <c r="H154" s="13" t="s">
        <v>1127</v>
      </c>
      <c r="I154" s="14" t="s">
        <v>44</v>
      </c>
      <c r="J154" s="13" t="s">
        <v>1127</v>
      </c>
      <c r="K154" s="14" t="s">
        <v>44</v>
      </c>
    </row>
    <row r="155" customFormat="false" ht="15" hidden="false" customHeight="false" outlineLevel="0" collapsed="false">
      <c r="A155" s="13" t="s">
        <v>1128</v>
      </c>
      <c r="B155" s="13" t="s">
        <v>1129</v>
      </c>
      <c r="C155" s="13" t="s">
        <v>487</v>
      </c>
      <c r="D155" s="13" t="s">
        <v>1130</v>
      </c>
      <c r="E155" s="13" t="s">
        <v>1131</v>
      </c>
      <c r="F155" s="13" t="s">
        <v>1132</v>
      </c>
      <c r="G155" s="13" t="s">
        <v>1133</v>
      </c>
      <c r="H155" s="13" t="s">
        <v>1133</v>
      </c>
      <c r="I155" s="14" t="s">
        <v>44</v>
      </c>
      <c r="J155" s="13" t="s">
        <v>1133</v>
      </c>
      <c r="K155" s="14" t="s">
        <v>44</v>
      </c>
    </row>
    <row r="156" customFormat="false" ht="15" hidden="false" customHeight="false" outlineLevel="0" collapsed="false">
      <c r="A156" s="13" t="s">
        <v>1134</v>
      </c>
      <c r="B156" s="13" t="s">
        <v>1129</v>
      </c>
      <c r="C156" s="13" t="s">
        <v>458</v>
      </c>
      <c r="D156" s="13" t="s">
        <v>1135</v>
      </c>
      <c r="E156" s="13" t="s">
        <v>1136</v>
      </c>
      <c r="F156" s="13" t="s">
        <v>1137</v>
      </c>
      <c r="G156" s="13" t="s">
        <v>701</v>
      </c>
      <c r="H156" s="13" t="s">
        <v>701</v>
      </c>
      <c r="I156" s="14" t="s">
        <v>44</v>
      </c>
      <c r="J156" s="13" t="s">
        <v>701</v>
      </c>
      <c r="K156" s="14" t="s">
        <v>44</v>
      </c>
    </row>
    <row r="157" customFormat="false" ht="15" hidden="false" customHeight="false" outlineLevel="0" collapsed="false">
      <c r="A157" s="13" t="s">
        <v>1138</v>
      </c>
      <c r="B157" s="13" t="s">
        <v>1129</v>
      </c>
      <c r="C157" s="13" t="s">
        <v>458</v>
      </c>
      <c r="D157" s="13" t="s">
        <v>1135</v>
      </c>
      <c r="E157" s="13" t="s">
        <v>1139</v>
      </c>
      <c r="F157" s="13" t="s">
        <v>1140</v>
      </c>
      <c r="G157" s="13" t="s">
        <v>1004</v>
      </c>
      <c r="H157" s="13" t="s">
        <v>1004</v>
      </c>
      <c r="I157" s="14" t="s">
        <v>44</v>
      </c>
      <c r="J157" s="13" t="s">
        <v>1004</v>
      </c>
      <c r="K157" s="14" t="s">
        <v>44</v>
      </c>
    </row>
    <row r="158" customFormat="false" ht="23.85" hidden="false" customHeight="false" outlineLevel="0" collapsed="false">
      <c r="A158" s="13" t="s">
        <v>1141</v>
      </c>
      <c r="B158" s="13" t="s">
        <v>1129</v>
      </c>
      <c r="C158" s="13" t="s">
        <v>458</v>
      </c>
      <c r="D158" s="13" t="s">
        <v>1142</v>
      </c>
      <c r="E158" s="13" t="s">
        <v>1143</v>
      </c>
      <c r="F158" s="13" t="s">
        <v>1144</v>
      </c>
      <c r="G158" s="13" t="s">
        <v>1145</v>
      </c>
      <c r="H158" s="13" t="s">
        <v>1145</v>
      </c>
      <c r="I158" s="14" t="s">
        <v>44</v>
      </c>
      <c r="J158" s="13" t="s">
        <v>1145</v>
      </c>
      <c r="K158" s="14" t="s">
        <v>44</v>
      </c>
    </row>
    <row r="159" customFormat="false" ht="15" hidden="false" customHeight="false" outlineLevel="0" collapsed="false">
      <c r="A159" s="13" t="s">
        <v>1146</v>
      </c>
      <c r="B159" s="13" t="s">
        <v>1129</v>
      </c>
      <c r="C159" s="13" t="s">
        <v>487</v>
      </c>
      <c r="D159" s="13" t="s">
        <v>1147</v>
      </c>
      <c r="E159" s="13" t="s">
        <v>1148</v>
      </c>
      <c r="F159" s="13" t="s">
        <v>1149</v>
      </c>
      <c r="G159" s="13" t="s">
        <v>813</v>
      </c>
      <c r="H159" s="13" t="s">
        <v>813</v>
      </c>
      <c r="I159" s="14" t="s">
        <v>44</v>
      </c>
      <c r="J159" s="13" t="s">
        <v>813</v>
      </c>
      <c r="K159" s="14" t="s">
        <v>44</v>
      </c>
    </row>
    <row r="160" customFormat="false" ht="23.85" hidden="false" customHeight="false" outlineLevel="0" collapsed="false">
      <c r="A160" s="13" t="s">
        <v>1150</v>
      </c>
      <c r="B160" s="13" t="s">
        <v>1129</v>
      </c>
      <c r="C160" s="13" t="s">
        <v>430</v>
      </c>
      <c r="D160" s="13" t="s">
        <v>1151</v>
      </c>
      <c r="E160" s="13" t="s">
        <v>1152</v>
      </c>
      <c r="F160" s="13" t="s">
        <v>1153</v>
      </c>
      <c r="G160" s="13" t="s">
        <v>1154</v>
      </c>
      <c r="H160" s="13" t="s">
        <v>1154</v>
      </c>
      <c r="I160" s="14" t="s">
        <v>44</v>
      </c>
      <c r="J160" s="13" t="s">
        <v>1154</v>
      </c>
      <c r="K160" s="14" t="s">
        <v>44</v>
      </c>
    </row>
    <row r="161" customFormat="false" ht="15" hidden="false" customHeight="false" outlineLevel="0" collapsed="false">
      <c r="A161" s="13" t="s">
        <v>1155</v>
      </c>
      <c r="B161" s="13" t="s">
        <v>1129</v>
      </c>
      <c r="C161" s="13" t="s">
        <v>773</v>
      </c>
      <c r="D161" s="13" t="s">
        <v>929</v>
      </c>
      <c r="E161" s="13" t="s">
        <v>1156</v>
      </c>
      <c r="F161" s="13" t="s">
        <v>1157</v>
      </c>
      <c r="G161" s="13" t="s">
        <v>819</v>
      </c>
      <c r="H161" s="13" t="s">
        <v>819</v>
      </c>
      <c r="I161" s="14" t="s">
        <v>44</v>
      </c>
      <c r="J161" s="13" t="s">
        <v>819</v>
      </c>
      <c r="K161" s="14" t="s">
        <v>44</v>
      </c>
    </row>
    <row r="162" customFormat="false" ht="23.85" hidden="false" customHeight="false" outlineLevel="0" collapsed="false">
      <c r="A162" s="13" t="s">
        <v>1158</v>
      </c>
      <c r="B162" s="13" t="s">
        <v>1129</v>
      </c>
      <c r="C162" s="13" t="s">
        <v>430</v>
      </c>
      <c r="D162" s="13" t="s">
        <v>1159</v>
      </c>
      <c r="E162" s="13" t="s">
        <v>1160</v>
      </c>
      <c r="F162" s="13" t="s">
        <v>1161</v>
      </c>
      <c r="G162" s="13" t="s">
        <v>1162</v>
      </c>
      <c r="H162" s="13" t="s">
        <v>1162</v>
      </c>
      <c r="I162" s="14" t="s">
        <v>44</v>
      </c>
      <c r="J162" s="13" t="s">
        <v>1162</v>
      </c>
      <c r="K162" s="14" t="s">
        <v>44</v>
      </c>
    </row>
    <row r="163" customFormat="false" ht="23.85" hidden="false" customHeight="false" outlineLevel="0" collapsed="false">
      <c r="A163" s="13" t="s">
        <v>1163</v>
      </c>
      <c r="B163" s="13" t="s">
        <v>1129</v>
      </c>
      <c r="C163" s="13" t="s">
        <v>430</v>
      </c>
      <c r="D163" s="13" t="s">
        <v>1164</v>
      </c>
      <c r="E163" s="13" t="s">
        <v>1165</v>
      </c>
      <c r="F163" s="13" t="s">
        <v>1166</v>
      </c>
      <c r="G163" s="13" t="s">
        <v>1167</v>
      </c>
      <c r="H163" s="13" t="s">
        <v>1167</v>
      </c>
      <c r="I163" s="14" t="s">
        <v>44</v>
      </c>
      <c r="J163" s="13" t="s">
        <v>1167</v>
      </c>
      <c r="K163" s="14" t="s">
        <v>44</v>
      </c>
    </row>
    <row r="164" customFormat="false" ht="23.85" hidden="false" customHeight="false" outlineLevel="0" collapsed="false">
      <c r="A164" s="13" t="s">
        <v>1168</v>
      </c>
      <c r="B164" s="13" t="s">
        <v>1129</v>
      </c>
      <c r="C164" s="13" t="s">
        <v>430</v>
      </c>
      <c r="D164" s="13" t="s">
        <v>1169</v>
      </c>
      <c r="E164" s="13" t="s">
        <v>1170</v>
      </c>
      <c r="F164" s="13" t="s">
        <v>1171</v>
      </c>
      <c r="G164" s="13" t="s">
        <v>1172</v>
      </c>
      <c r="H164" s="13" t="s">
        <v>1172</v>
      </c>
      <c r="I164" s="14" t="s">
        <v>44</v>
      </c>
      <c r="J164" s="13" t="s">
        <v>1172</v>
      </c>
      <c r="K164" s="14" t="s">
        <v>44</v>
      </c>
    </row>
    <row r="165" customFormat="false" ht="15" hidden="false" customHeight="false" outlineLevel="0" collapsed="false">
      <c r="A165" s="13" t="s">
        <v>1173</v>
      </c>
      <c r="B165" s="13" t="s">
        <v>1129</v>
      </c>
      <c r="C165" s="13" t="s">
        <v>430</v>
      </c>
      <c r="D165" s="13" t="s">
        <v>1174</v>
      </c>
      <c r="E165" s="13" t="s">
        <v>1175</v>
      </c>
      <c r="F165" s="13" t="s">
        <v>1176</v>
      </c>
      <c r="G165" s="13" t="s">
        <v>1177</v>
      </c>
      <c r="H165" s="13" t="s">
        <v>1177</v>
      </c>
      <c r="I165" s="14" t="s">
        <v>44</v>
      </c>
      <c r="J165" s="13" t="s">
        <v>1177</v>
      </c>
      <c r="K165" s="14" t="s">
        <v>44</v>
      </c>
    </row>
    <row r="166" customFormat="false" ht="23.85" hidden="false" customHeight="false" outlineLevel="0" collapsed="false">
      <c r="A166" s="13" t="s">
        <v>1178</v>
      </c>
      <c r="B166" s="13" t="s">
        <v>1129</v>
      </c>
      <c r="C166" s="13" t="s">
        <v>430</v>
      </c>
      <c r="D166" s="13" t="s">
        <v>1179</v>
      </c>
      <c r="E166" s="13" t="s">
        <v>1180</v>
      </c>
      <c r="F166" s="13" t="s">
        <v>1181</v>
      </c>
      <c r="G166" s="13" t="s">
        <v>1182</v>
      </c>
      <c r="H166" s="13" t="s">
        <v>1182</v>
      </c>
      <c r="I166" s="14" t="s">
        <v>44</v>
      </c>
      <c r="J166" s="13" t="s">
        <v>1182</v>
      </c>
      <c r="K166" s="14" t="s">
        <v>44</v>
      </c>
    </row>
    <row r="167" customFormat="false" ht="23.85" hidden="false" customHeight="false" outlineLevel="0" collapsed="false">
      <c r="A167" s="13" t="s">
        <v>1183</v>
      </c>
      <c r="B167" s="13" t="s">
        <v>1129</v>
      </c>
      <c r="C167" s="13" t="s">
        <v>430</v>
      </c>
      <c r="D167" s="13" t="s">
        <v>1184</v>
      </c>
      <c r="E167" s="13" t="s">
        <v>1185</v>
      </c>
      <c r="F167" s="13" t="s">
        <v>1186</v>
      </c>
      <c r="G167" s="13" t="s">
        <v>1187</v>
      </c>
      <c r="H167" s="13" t="s">
        <v>1187</v>
      </c>
      <c r="I167" s="14" t="s">
        <v>44</v>
      </c>
      <c r="J167" s="13" t="s">
        <v>1187</v>
      </c>
      <c r="K167" s="14" t="s">
        <v>44</v>
      </c>
    </row>
    <row r="168" customFormat="false" ht="15" hidden="false" customHeight="false" outlineLevel="0" collapsed="false">
      <c r="A168" s="13" t="s">
        <v>1188</v>
      </c>
      <c r="B168" s="13" t="s">
        <v>1129</v>
      </c>
      <c r="C168" s="13" t="s">
        <v>430</v>
      </c>
      <c r="D168" s="13" t="s">
        <v>1189</v>
      </c>
      <c r="E168" s="13" t="s">
        <v>1190</v>
      </c>
      <c r="F168" s="13" t="s">
        <v>1191</v>
      </c>
      <c r="G168" s="13" t="s">
        <v>1192</v>
      </c>
      <c r="H168" s="13" t="s">
        <v>1192</v>
      </c>
      <c r="I168" s="14" t="s">
        <v>44</v>
      </c>
      <c r="J168" s="13" t="s">
        <v>1192</v>
      </c>
      <c r="K168" s="14" t="s">
        <v>44</v>
      </c>
    </row>
    <row r="169" customFormat="false" ht="23.85" hidden="false" customHeight="false" outlineLevel="0" collapsed="false">
      <c r="A169" s="13" t="s">
        <v>1193</v>
      </c>
      <c r="B169" s="13" t="s">
        <v>1129</v>
      </c>
      <c r="C169" s="13" t="s">
        <v>852</v>
      </c>
      <c r="D169" s="13" t="s">
        <v>1194</v>
      </c>
      <c r="E169" s="13" t="s">
        <v>1195</v>
      </c>
      <c r="F169" s="13" t="s">
        <v>1196</v>
      </c>
      <c r="G169" s="13" t="s">
        <v>1197</v>
      </c>
      <c r="H169" s="13" t="s">
        <v>1197</v>
      </c>
      <c r="I169" s="14" t="s">
        <v>44</v>
      </c>
      <c r="J169" s="13" t="s">
        <v>1197</v>
      </c>
      <c r="K169" s="14" t="s">
        <v>44</v>
      </c>
    </row>
    <row r="170" customFormat="false" ht="23.85" hidden="false" customHeight="false" outlineLevel="0" collapsed="false">
      <c r="A170" s="13" t="s">
        <v>1198</v>
      </c>
      <c r="B170" s="13" t="s">
        <v>1129</v>
      </c>
      <c r="C170" s="13" t="s">
        <v>458</v>
      </c>
      <c r="D170" s="13" t="s">
        <v>1199</v>
      </c>
      <c r="E170" s="13" t="s">
        <v>1200</v>
      </c>
      <c r="F170" s="13" t="s">
        <v>1201</v>
      </c>
      <c r="G170" s="13" t="s">
        <v>1202</v>
      </c>
      <c r="H170" s="13" t="s">
        <v>1202</v>
      </c>
      <c r="I170" s="14" t="s">
        <v>44</v>
      </c>
      <c r="J170" s="13" t="s">
        <v>1202</v>
      </c>
      <c r="K170" s="14" t="s">
        <v>44</v>
      </c>
    </row>
    <row r="171" customFormat="false" ht="23.85" hidden="false" customHeight="false" outlineLevel="0" collapsed="false">
      <c r="A171" s="13" t="s">
        <v>1203</v>
      </c>
      <c r="B171" s="13" t="s">
        <v>1129</v>
      </c>
      <c r="C171" s="13" t="s">
        <v>458</v>
      </c>
      <c r="D171" s="13" t="s">
        <v>1199</v>
      </c>
      <c r="E171" s="13" t="s">
        <v>1204</v>
      </c>
      <c r="F171" s="13" t="s">
        <v>1205</v>
      </c>
      <c r="G171" s="13" t="s">
        <v>1206</v>
      </c>
      <c r="H171" s="13" t="s">
        <v>1206</v>
      </c>
      <c r="I171" s="14" t="s">
        <v>44</v>
      </c>
      <c r="J171" s="13" t="s">
        <v>1206</v>
      </c>
      <c r="K171" s="14" t="s">
        <v>44</v>
      </c>
    </row>
    <row r="172" customFormat="false" ht="23.85" hidden="false" customHeight="false" outlineLevel="0" collapsed="false">
      <c r="A172" s="13" t="s">
        <v>1207</v>
      </c>
      <c r="B172" s="13" t="s">
        <v>1129</v>
      </c>
      <c r="C172" s="13" t="s">
        <v>430</v>
      </c>
      <c r="D172" s="13" t="s">
        <v>1208</v>
      </c>
      <c r="E172" s="13" t="s">
        <v>1209</v>
      </c>
      <c r="F172" s="13" t="s">
        <v>1210</v>
      </c>
      <c r="G172" s="13" t="s">
        <v>1211</v>
      </c>
      <c r="H172" s="13" t="s">
        <v>1211</v>
      </c>
      <c r="I172" s="14" t="s">
        <v>44</v>
      </c>
      <c r="J172" s="13" t="s">
        <v>1211</v>
      </c>
      <c r="K172" s="14" t="s">
        <v>44</v>
      </c>
    </row>
    <row r="173" customFormat="false" ht="23.85" hidden="false" customHeight="false" outlineLevel="0" collapsed="false">
      <c r="A173" s="13" t="s">
        <v>1212</v>
      </c>
      <c r="B173" s="13" t="s">
        <v>1129</v>
      </c>
      <c r="C173" s="13" t="s">
        <v>430</v>
      </c>
      <c r="D173" s="13" t="s">
        <v>1208</v>
      </c>
      <c r="E173" s="13" t="s">
        <v>1213</v>
      </c>
      <c r="F173" s="13" t="s">
        <v>1214</v>
      </c>
      <c r="G173" s="13" t="s">
        <v>1215</v>
      </c>
      <c r="H173" s="13" t="s">
        <v>1215</v>
      </c>
      <c r="I173" s="14" t="s">
        <v>44</v>
      </c>
      <c r="J173" s="13" t="s">
        <v>1215</v>
      </c>
      <c r="K173" s="14" t="s">
        <v>44</v>
      </c>
    </row>
    <row r="174" customFormat="false" ht="23.85" hidden="false" customHeight="false" outlineLevel="0" collapsed="false">
      <c r="A174" s="13" t="s">
        <v>1216</v>
      </c>
      <c r="B174" s="13" t="s">
        <v>1129</v>
      </c>
      <c r="C174" s="13" t="s">
        <v>430</v>
      </c>
      <c r="D174" s="13" t="s">
        <v>1217</v>
      </c>
      <c r="E174" s="13" t="s">
        <v>1218</v>
      </c>
      <c r="F174" s="13" t="s">
        <v>1219</v>
      </c>
      <c r="G174" s="13" t="s">
        <v>1220</v>
      </c>
      <c r="H174" s="13" t="s">
        <v>1220</v>
      </c>
      <c r="I174" s="14" t="s">
        <v>44</v>
      </c>
      <c r="J174" s="13" t="s">
        <v>1220</v>
      </c>
      <c r="K174" s="14" t="s">
        <v>44</v>
      </c>
    </row>
    <row r="175" customFormat="false" ht="15" hidden="false" customHeight="false" outlineLevel="0" collapsed="false">
      <c r="A175" s="13" t="s">
        <v>1221</v>
      </c>
      <c r="B175" s="13" t="s">
        <v>1129</v>
      </c>
      <c r="C175" s="13" t="s">
        <v>458</v>
      </c>
      <c r="D175" s="13" t="s">
        <v>1222</v>
      </c>
      <c r="E175" s="13" t="s">
        <v>1223</v>
      </c>
      <c r="F175" s="13" t="s">
        <v>1224</v>
      </c>
      <c r="G175" s="13" t="s">
        <v>1215</v>
      </c>
      <c r="H175" s="13" t="s">
        <v>1215</v>
      </c>
      <c r="I175" s="14" t="s">
        <v>44</v>
      </c>
      <c r="J175" s="13" t="s">
        <v>1215</v>
      </c>
      <c r="K175" s="14" t="s">
        <v>44</v>
      </c>
    </row>
    <row r="176" customFormat="false" ht="23.85" hidden="false" customHeight="false" outlineLevel="0" collapsed="false">
      <c r="A176" s="13" t="s">
        <v>1225</v>
      </c>
      <c r="B176" s="13" t="s">
        <v>1129</v>
      </c>
      <c r="C176" s="13" t="s">
        <v>852</v>
      </c>
      <c r="D176" s="13" t="s">
        <v>1226</v>
      </c>
      <c r="E176" s="13" t="s">
        <v>1227</v>
      </c>
      <c r="F176" s="13" t="s">
        <v>1228</v>
      </c>
      <c r="G176" s="13" t="s">
        <v>1229</v>
      </c>
      <c r="H176" s="13" t="s">
        <v>1229</v>
      </c>
      <c r="I176" s="14" t="s">
        <v>44</v>
      </c>
      <c r="J176" s="13" t="s">
        <v>1229</v>
      </c>
      <c r="K176" s="14" t="s">
        <v>44</v>
      </c>
    </row>
    <row r="177" customFormat="false" ht="23.85" hidden="false" customHeight="false" outlineLevel="0" collapsed="false">
      <c r="A177" s="13" t="s">
        <v>1230</v>
      </c>
      <c r="B177" s="13" t="s">
        <v>1129</v>
      </c>
      <c r="C177" s="13" t="s">
        <v>773</v>
      </c>
      <c r="D177" s="13" t="s">
        <v>1231</v>
      </c>
      <c r="E177" s="13" t="s">
        <v>1232</v>
      </c>
      <c r="F177" s="13" t="s">
        <v>1233</v>
      </c>
      <c r="G177" s="13" t="s">
        <v>1234</v>
      </c>
      <c r="H177" s="13" t="s">
        <v>1234</v>
      </c>
      <c r="I177" s="14" t="s">
        <v>44</v>
      </c>
      <c r="J177" s="13" t="s">
        <v>1234</v>
      </c>
      <c r="K177" s="14" t="s">
        <v>44</v>
      </c>
    </row>
    <row r="178" customFormat="false" ht="15" hidden="false" customHeight="false" outlineLevel="0" collapsed="false">
      <c r="A178" s="13" t="s">
        <v>1235</v>
      </c>
      <c r="B178" s="13" t="s">
        <v>1236</v>
      </c>
      <c r="C178" s="13" t="s">
        <v>458</v>
      </c>
      <c r="D178" s="13" t="s">
        <v>895</v>
      </c>
      <c r="E178" s="13" t="s">
        <v>1014</v>
      </c>
      <c r="F178" s="13" t="s">
        <v>897</v>
      </c>
      <c r="G178" s="13" t="s">
        <v>701</v>
      </c>
      <c r="H178" s="13" t="s">
        <v>701</v>
      </c>
      <c r="I178" s="14" t="s">
        <v>44</v>
      </c>
      <c r="J178" s="13" t="s">
        <v>701</v>
      </c>
      <c r="K178" s="14" t="s">
        <v>44</v>
      </c>
    </row>
    <row r="179" customFormat="false" ht="15" hidden="false" customHeight="false" outlineLevel="0" collapsed="false">
      <c r="A179" s="13" t="s">
        <v>1237</v>
      </c>
      <c r="B179" s="13" t="s">
        <v>1236</v>
      </c>
      <c r="C179" s="13" t="s">
        <v>458</v>
      </c>
      <c r="D179" s="13" t="s">
        <v>895</v>
      </c>
      <c r="E179" s="13" t="s">
        <v>1016</v>
      </c>
      <c r="F179" s="13" t="s">
        <v>1017</v>
      </c>
      <c r="G179" s="13" t="s">
        <v>1238</v>
      </c>
      <c r="H179" s="13" t="s">
        <v>1238</v>
      </c>
      <c r="I179" s="14" t="s">
        <v>44</v>
      </c>
      <c r="J179" s="13" t="s">
        <v>1238</v>
      </c>
      <c r="K179" s="14" t="s">
        <v>44</v>
      </c>
    </row>
    <row r="180" customFormat="false" ht="15" hidden="false" customHeight="false" outlineLevel="0" collapsed="false">
      <c r="A180" s="13" t="s">
        <v>1239</v>
      </c>
      <c r="B180" s="13" t="s">
        <v>1236</v>
      </c>
      <c r="C180" s="13" t="s">
        <v>458</v>
      </c>
      <c r="D180" s="13" t="s">
        <v>895</v>
      </c>
      <c r="E180" s="13" t="s">
        <v>903</v>
      </c>
      <c r="F180" s="13" t="s">
        <v>904</v>
      </c>
      <c r="G180" s="13" t="s">
        <v>833</v>
      </c>
      <c r="H180" s="13" t="s">
        <v>833</v>
      </c>
      <c r="I180" s="14" t="s">
        <v>44</v>
      </c>
      <c r="J180" s="13" t="s">
        <v>833</v>
      </c>
      <c r="K180" s="14" t="s">
        <v>44</v>
      </c>
    </row>
    <row r="181" customFormat="false" ht="15" hidden="false" customHeight="false" outlineLevel="0" collapsed="false">
      <c r="A181" s="13" t="s">
        <v>1240</v>
      </c>
      <c r="B181" s="13" t="s">
        <v>1236</v>
      </c>
      <c r="C181" s="13" t="s">
        <v>458</v>
      </c>
      <c r="D181" s="13" t="s">
        <v>895</v>
      </c>
      <c r="E181" s="13" t="s">
        <v>1020</v>
      </c>
      <c r="F181" s="13" t="s">
        <v>836</v>
      </c>
      <c r="G181" s="13" t="s">
        <v>701</v>
      </c>
      <c r="H181" s="13" t="s">
        <v>701</v>
      </c>
      <c r="I181" s="14" t="s">
        <v>44</v>
      </c>
      <c r="J181" s="13" t="s">
        <v>701</v>
      </c>
      <c r="K181" s="14" t="s">
        <v>44</v>
      </c>
    </row>
    <row r="182" customFormat="false" ht="23.85" hidden="false" customHeight="false" outlineLevel="0" collapsed="false">
      <c r="A182" s="13" t="s">
        <v>1241</v>
      </c>
      <c r="B182" s="13" t="s">
        <v>1236</v>
      </c>
      <c r="C182" s="13" t="s">
        <v>487</v>
      </c>
      <c r="D182" s="13" t="s">
        <v>1242</v>
      </c>
      <c r="E182" s="13" t="s">
        <v>1243</v>
      </c>
      <c r="F182" s="13" t="s">
        <v>1244</v>
      </c>
      <c r="G182" s="13" t="s">
        <v>1133</v>
      </c>
      <c r="H182" s="13" t="s">
        <v>1133</v>
      </c>
      <c r="I182" s="14" t="s">
        <v>44</v>
      </c>
      <c r="J182" s="13" t="s">
        <v>1133</v>
      </c>
      <c r="K182" s="14" t="s">
        <v>44</v>
      </c>
    </row>
    <row r="183" customFormat="false" ht="15" hidden="false" customHeight="false" outlineLevel="0" collapsed="false">
      <c r="A183" s="13" t="s">
        <v>1245</v>
      </c>
      <c r="B183" s="13" t="s">
        <v>1236</v>
      </c>
      <c r="C183" s="13" t="s">
        <v>458</v>
      </c>
      <c r="D183" s="13" t="s">
        <v>919</v>
      </c>
      <c r="E183" s="13" t="s">
        <v>1246</v>
      </c>
      <c r="F183" s="13" t="s">
        <v>921</v>
      </c>
      <c r="G183" s="13" t="s">
        <v>1247</v>
      </c>
      <c r="H183" s="13" t="s">
        <v>1247</v>
      </c>
      <c r="I183" s="14" t="s">
        <v>44</v>
      </c>
      <c r="J183" s="13" t="s">
        <v>1247</v>
      </c>
      <c r="K183" s="14" t="s">
        <v>44</v>
      </c>
    </row>
    <row r="184" customFormat="false" ht="23.85" hidden="false" customHeight="false" outlineLevel="0" collapsed="false">
      <c r="A184" s="13" t="s">
        <v>1248</v>
      </c>
      <c r="B184" s="13" t="s">
        <v>1236</v>
      </c>
      <c r="C184" s="13" t="s">
        <v>458</v>
      </c>
      <c r="D184" s="13" t="s">
        <v>1249</v>
      </c>
      <c r="E184" s="13" t="s">
        <v>925</v>
      </c>
      <c r="F184" s="13" t="s">
        <v>926</v>
      </c>
      <c r="G184" s="13" t="s">
        <v>1250</v>
      </c>
      <c r="H184" s="13" t="s">
        <v>1250</v>
      </c>
      <c r="I184" s="14" t="s">
        <v>44</v>
      </c>
      <c r="J184" s="13" t="s">
        <v>1250</v>
      </c>
      <c r="K184" s="14" t="s">
        <v>44</v>
      </c>
    </row>
    <row r="185" customFormat="false" ht="23.85" hidden="false" customHeight="false" outlineLevel="0" collapsed="false">
      <c r="A185" s="13" t="s">
        <v>1251</v>
      </c>
      <c r="B185" s="13" t="s">
        <v>1236</v>
      </c>
      <c r="C185" s="13" t="s">
        <v>430</v>
      </c>
      <c r="D185" s="13" t="s">
        <v>1252</v>
      </c>
      <c r="E185" s="13" t="s">
        <v>1253</v>
      </c>
      <c r="F185" s="13" t="s">
        <v>1254</v>
      </c>
      <c r="G185" s="13" t="s">
        <v>1255</v>
      </c>
      <c r="H185" s="13" t="s">
        <v>1255</v>
      </c>
      <c r="I185" s="14" t="s">
        <v>44</v>
      </c>
      <c r="J185" s="13" t="s">
        <v>1255</v>
      </c>
      <c r="K185" s="14" t="s">
        <v>44</v>
      </c>
    </row>
    <row r="186" customFormat="false" ht="15" hidden="false" customHeight="false" outlineLevel="0" collapsed="false">
      <c r="A186" s="13" t="s">
        <v>1256</v>
      </c>
      <c r="B186" s="13" t="s">
        <v>1236</v>
      </c>
      <c r="C186" s="13" t="s">
        <v>773</v>
      </c>
      <c r="D186" s="13" t="s">
        <v>929</v>
      </c>
      <c r="E186" s="13" t="s">
        <v>1257</v>
      </c>
      <c r="F186" s="13" t="s">
        <v>1258</v>
      </c>
      <c r="G186" s="13" t="s">
        <v>819</v>
      </c>
      <c r="H186" s="13" t="s">
        <v>819</v>
      </c>
      <c r="I186" s="14" t="s">
        <v>44</v>
      </c>
      <c r="J186" s="13" t="s">
        <v>819</v>
      </c>
      <c r="K186" s="14" t="s">
        <v>44</v>
      </c>
    </row>
    <row r="187" customFormat="false" ht="23.85" hidden="false" customHeight="false" outlineLevel="0" collapsed="false">
      <c r="A187" s="13" t="s">
        <v>1259</v>
      </c>
      <c r="B187" s="13" t="s">
        <v>1236</v>
      </c>
      <c r="C187" s="13" t="s">
        <v>430</v>
      </c>
      <c r="D187" s="13" t="s">
        <v>1260</v>
      </c>
      <c r="E187" s="13" t="s">
        <v>1261</v>
      </c>
      <c r="F187" s="13" t="s">
        <v>1262</v>
      </c>
      <c r="G187" s="13" t="s">
        <v>1263</v>
      </c>
      <c r="H187" s="13" t="s">
        <v>1263</v>
      </c>
      <c r="I187" s="14" t="s">
        <v>44</v>
      </c>
      <c r="J187" s="13" t="s">
        <v>1263</v>
      </c>
      <c r="K187" s="14" t="s">
        <v>44</v>
      </c>
    </row>
    <row r="188" customFormat="false" ht="15" hidden="false" customHeight="false" outlineLevel="0" collapsed="false">
      <c r="A188" s="13" t="s">
        <v>1264</v>
      </c>
      <c r="B188" s="13" t="s">
        <v>1236</v>
      </c>
      <c r="C188" s="13" t="s">
        <v>458</v>
      </c>
      <c r="D188" s="13" t="s">
        <v>1265</v>
      </c>
      <c r="E188" s="13" t="s">
        <v>1266</v>
      </c>
      <c r="F188" s="13" t="s">
        <v>1267</v>
      </c>
      <c r="G188" s="13" t="s">
        <v>1268</v>
      </c>
      <c r="H188" s="13" t="s">
        <v>1268</v>
      </c>
      <c r="I188" s="14" t="s">
        <v>44</v>
      </c>
      <c r="J188" s="13" t="s">
        <v>1268</v>
      </c>
      <c r="K188" s="14" t="s">
        <v>44</v>
      </c>
    </row>
    <row r="189" customFormat="false" ht="23.85" hidden="false" customHeight="false" outlineLevel="0" collapsed="false">
      <c r="A189" s="13" t="s">
        <v>1269</v>
      </c>
      <c r="B189" s="13" t="s">
        <v>1236</v>
      </c>
      <c r="C189" s="13" t="s">
        <v>430</v>
      </c>
      <c r="D189" s="13" t="s">
        <v>1270</v>
      </c>
      <c r="E189" s="13" t="s">
        <v>1271</v>
      </c>
      <c r="F189" s="13" t="s">
        <v>1272</v>
      </c>
      <c r="G189" s="13" t="s">
        <v>1273</v>
      </c>
      <c r="H189" s="13" t="s">
        <v>1273</v>
      </c>
      <c r="I189" s="14" t="s">
        <v>44</v>
      </c>
      <c r="J189" s="13" t="s">
        <v>1273</v>
      </c>
      <c r="K189" s="14" t="s">
        <v>44</v>
      </c>
    </row>
    <row r="190" customFormat="false" ht="23.85" hidden="false" customHeight="false" outlineLevel="0" collapsed="false">
      <c r="A190" s="13" t="s">
        <v>1274</v>
      </c>
      <c r="B190" s="13" t="s">
        <v>1236</v>
      </c>
      <c r="C190" s="13" t="s">
        <v>430</v>
      </c>
      <c r="D190" s="13" t="s">
        <v>1275</v>
      </c>
      <c r="E190" s="13" t="s">
        <v>1276</v>
      </c>
      <c r="F190" s="13" t="s">
        <v>1277</v>
      </c>
      <c r="G190" s="13" t="s">
        <v>1278</v>
      </c>
      <c r="H190" s="13" t="s">
        <v>1278</v>
      </c>
      <c r="I190" s="14" t="s">
        <v>44</v>
      </c>
      <c r="J190" s="13" t="s">
        <v>1278</v>
      </c>
      <c r="K190" s="14" t="s">
        <v>44</v>
      </c>
    </row>
    <row r="191" customFormat="false" ht="23.85" hidden="false" customHeight="false" outlineLevel="0" collapsed="false">
      <c r="A191" s="13" t="s">
        <v>1279</v>
      </c>
      <c r="B191" s="13" t="s">
        <v>1236</v>
      </c>
      <c r="C191" s="13" t="s">
        <v>430</v>
      </c>
      <c r="D191" s="13" t="s">
        <v>1280</v>
      </c>
      <c r="E191" s="13" t="s">
        <v>1281</v>
      </c>
      <c r="F191" s="13" t="s">
        <v>1282</v>
      </c>
      <c r="G191" s="13" t="s">
        <v>1283</v>
      </c>
      <c r="H191" s="13" t="s">
        <v>1283</v>
      </c>
      <c r="I191" s="14" t="s">
        <v>44</v>
      </c>
      <c r="J191" s="13" t="s">
        <v>1283</v>
      </c>
      <c r="K191" s="14" t="s">
        <v>44</v>
      </c>
    </row>
    <row r="192" customFormat="false" ht="23.85" hidden="false" customHeight="false" outlineLevel="0" collapsed="false">
      <c r="A192" s="13" t="s">
        <v>1284</v>
      </c>
      <c r="B192" s="13" t="s">
        <v>1236</v>
      </c>
      <c r="C192" s="13" t="s">
        <v>430</v>
      </c>
      <c r="D192" s="13" t="s">
        <v>1285</v>
      </c>
      <c r="E192" s="13" t="s">
        <v>1286</v>
      </c>
      <c r="F192" s="13" t="s">
        <v>1287</v>
      </c>
      <c r="G192" s="13" t="s">
        <v>1288</v>
      </c>
      <c r="H192" s="13" t="s">
        <v>1288</v>
      </c>
      <c r="I192" s="14" t="s">
        <v>44</v>
      </c>
      <c r="J192" s="13" t="s">
        <v>1288</v>
      </c>
      <c r="K192" s="14" t="s">
        <v>44</v>
      </c>
    </row>
    <row r="193" customFormat="false" ht="23.85" hidden="false" customHeight="false" outlineLevel="0" collapsed="false">
      <c r="A193" s="13" t="s">
        <v>1289</v>
      </c>
      <c r="B193" s="13" t="s">
        <v>1236</v>
      </c>
      <c r="C193" s="13" t="s">
        <v>430</v>
      </c>
      <c r="D193" s="13" t="s">
        <v>1290</v>
      </c>
      <c r="E193" s="13" t="s">
        <v>1291</v>
      </c>
      <c r="F193" s="13" t="s">
        <v>1287</v>
      </c>
      <c r="G193" s="13" t="s">
        <v>1273</v>
      </c>
      <c r="H193" s="13" t="s">
        <v>1273</v>
      </c>
      <c r="I193" s="14" t="s">
        <v>44</v>
      </c>
      <c r="J193" s="13" t="s">
        <v>1273</v>
      </c>
      <c r="K193" s="14" t="s">
        <v>44</v>
      </c>
    </row>
    <row r="194" customFormat="false" ht="15" hidden="false" customHeight="false" outlineLevel="0" collapsed="false">
      <c r="A194" s="13" t="s">
        <v>1292</v>
      </c>
      <c r="B194" s="13" t="s">
        <v>1236</v>
      </c>
      <c r="C194" s="13" t="s">
        <v>430</v>
      </c>
      <c r="D194" s="13" t="s">
        <v>1293</v>
      </c>
      <c r="E194" s="13" t="s">
        <v>1294</v>
      </c>
      <c r="F194" s="13" t="s">
        <v>1287</v>
      </c>
      <c r="G194" s="13" t="s">
        <v>1295</v>
      </c>
      <c r="H194" s="13" t="s">
        <v>1295</v>
      </c>
      <c r="I194" s="14" t="s">
        <v>44</v>
      </c>
      <c r="J194" s="13" t="s">
        <v>1295</v>
      </c>
      <c r="K194" s="14" t="s">
        <v>44</v>
      </c>
    </row>
    <row r="195" customFormat="false" ht="15" hidden="false" customHeight="false" outlineLevel="0" collapsed="false">
      <c r="A195" s="13" t="s">
        <v>1296</v>
      </c>
      <c r="B195" s="13" t="s">
        <v>1236</v>
      </c>
      <c r="C195" s="13" t="s">
        <v>458</v>
      </c>
      <c r="D195" s="13" t="s">
        <v>1297</v>
      </c>
      <c r="E195" s="13" t="s">
        <v>1298</v>
      </c>
      <c r="F195" s="13" t="s">
        <v>1299</v>
      </c>
      <c r="G195" s="13" t="s">
        <v>1300</v>
      </c>
      <c r="H195" s="13" t="s">
        <v>1300</v>
      </c>
      <c r="I195" s="14" t="s">
        <v>44</v>
      </c>
      <c r="J195" s="13" t="s">
        <v>1300</v>
      </c>
      <c r="K195" s="14" t="s">
        <v>44</v>
      </c>
    </row>
    <row r="196" customFormat="false" ht="23.85" hidden="false" customHeight="false" outlineLevel="0" collapsed="false">
      <c r="A196" s="13" t="s">
        <v>1301</v>
      </c>
      <c r="B196" s="13" t="s">
        <v>1236</v>
      </c>
      <c r="C196" s="13" t="s">
        <v>458</v>
      </c>
      <c r="D196" s="13" t="s">
        <v>1302</v>
      </c>
      <c r="E196" s="13" t="s">
        <v>1303</v>
      </c>
      <c r="F196" s="13" t="s">
        <v>1304</v>
      </c>
      <c r="G196" s="13" t="s">
        <v>1300</v>
      </c>
      <c r="H196" s="13" t="s">
        <v>1300</v>
      </c>
      <c r="I196" s="14" t="s">
        <v>44</v>
      </c>
      <c r="J196" s="13" t="s">
        <v>1300</v>
      </c>
      <c r="K196" s="14" t="s">
        <v>44</v>
      </c>
    </row>
    <row r="197" customFormat="false" ht="15" hidden="false" customHeight="false" outlineLevel="0" collapsed="false">
      <c r="A197" s="13" t="s">
        <v>1305</v>
      </c>
      <c r="B197" s="13" t="s">
        <v>1236</v>
      </c>
      <c r="C197" s="13" t="s">
        <v>458</v>
      </c>
      <c r="D197" s="13" t="s">
        <v>1306</v>
      </c>
      <c r="E197" s="13" t="s">
        <v>1307</v>
      </c>
      <c r="F197" s="13" t="s">
        <v>1308</v>
      </c>
      <c r="G197" s="13" t="s">
        <v>1309</v>
      </c>
      <c r="H197" s="13" t="s">
        <v>1309</v>
      </c>
      <c r="I197" s="14" t="s">
        <v>44</v>
      </c>
      <c r="J197" s="13" t="s">
        <v>1309</v>
      </c>
      <c r="K197" s="14" t="s">
        <v>44</v>
      </c>
    </row>
    <row r="198" customFormat="false" ht="15" hidden="false" customHeight="false" outlineLevel="0" collapsed="false">
      <c r="A198" s="13" t="s">
        <v>1310</v>
      </c>
      <c r="B198" s="13" t="s">
        <v>1236</v>
      </c>
      <c r="C198" s="13" t="s">
        <v>430</v>
      </c>
      <c r="D198" s="13" t="s">
        <v>1311</v>
      </c>
      <c r="E198" s="13" t="s">
        <v>1312</v>
      </c>
      <c r="F198" s="13" t="s">
        <v>1313</v>
      </c>
      <c r="G198" s="13" t="s">
        <v>1288</v>
      </c>
      <c r="H198" s="13" t="s">
        <v>1288</v>
      </c>
      <c r="I198" s="14" t="s">
        <v>44</v>
      </c>
      <c r="J198" s="13" t="s">
        <v>1288</v>
      </c>
      <c r="K198" s="14" t="s">
        <v>44</v>
      </c>
    </row>
    <row r="199" customFormat="false" ht="23.85" hidden="false" customHeight="false" outlineLevel="0" collapsed="false">
      <c r="A199" s="13" t="s">
        <v>1314</v>
      </c>
      <c r="B199" s="13" t="s">
        <v>1236</v>
      </c>
      <c r="C199" s="13" t="s">
        <v>430</v>
      </c>
      <c r="D199" s="13" t="s">
        <v>1315</v>
      </c>
      <c r="E199" s="13" t="s">
        <v>1316</v>
      </c>
      <c r="F199" s="13" t="s">
        <v>1317</v>
      </c>
      <c r="G199" s="13" t="s">
        <v>1318</v>
      </c>
      <c r="H199" s="13" t="s">
        <v>1318</v>
      </c>
      <c r="I199" s="14" t="s">
        <v>44</v>
      </c>
      <c r="J199" s="13" t="s">
        <v>1318</v>
      </c>
      <c r="K199" s="14" t="s">
        <v>44</v>
      </c>
    </row>
    <row r="200" customFormat="false" ht="15" hidden="false" customHeight="false" outlineLevel="0" collapsed="false">
      <c r="A200" s="13" t="s">
        <v>1319</v>
      </c>
      <c r="B200" s="13" t="s">
        <v>1236</v>
      </c>
      <c r="C200" s="13" t="s">
        <v>487</v>
      </c>
      <c r="D200" s="13" t="s">
        <v>1320</v>
      </c>
      <c r="E200" s="13" t="s">
        <v>1321</v>
      </c>
      <c r="F200" s="13" t="s">
        <v>1322</v>
      </c>
      <c r="G200" s="13" t="s">
        <v>701</v>
      </c>
      <c r="H200" s="13" t="s">
        <v>701</v>
      </c>
      <c r="I200" s="14" t="s">
        <v>44</v>
      </c>
      <c r="J200" s="13" t="s">
        <v>701</v>
      </c>
      <c r="K200" s="14" t="s">
        <v>44</v>
      </c>
    </row>
    <row r="201" customFormat="false" ht="23.85" hidden="false" customHeight="false" outlineLevel="0" collapsed="false">
      <c r="A201" s="13" t="s">
        <v>1323</v>
      </c>
      <c r="B201" s="13" t="s">
        <v>1236</v>
      </c>
      <c r="C201" s="13" t="s">
        <v>430</v>
      </c>
      <c r="D201" s="13" t="s">
        <v>1324</v>
      </c>
      <c r="E201" s="13" t="s">
        <v>1325</v>
      </c>
      <c r="F201" s="13" t="s">
        <v>1326</v>
      </c>
      <c r="G201" s="13" t="s">
        <v>1327</v>
      </c>
      <c r="H201" s="13" t="s">
        <v>1327</v>
      </c>
      <c r="I201" s="14" t="s">
        <v>44</v>
      </c>
      <c r="J201" s="13" t="s">
        <v>1327</v>
      </c>
      <c r="K201" s="14" t="s">
        <v>44</v>
      </c>
    </row>
    <row r="202" customFormat="false" ht="15" hidden="false" customHeight="false" outlineLevel="0" collapsed="false">
      <c r="A202" s="13" t="s">
        <v>1328</v>
      </c>
      <c r="B202" s="13" t="s">
        <v>1236</v>
      </c>
      <c r="C202" s="13" t="s">
        <v>487</v>
      </c>
      <c r="D202" s="13" t="s">
        <v>1329</v>
      </c>
      <c r="E202" s="13" t="s">
        <v>1330</v>
      </c>
      <c r="F202" s="13" t="s">
        <v>1331</v>
      </c>
      <c r="G202" s="13" t="s">
        <v>1332</v>
      </c>
      <c r="H202" s="13" t="s">
        <v>1332</v>
      </c>
      <c r="I202" s="14" t="s">
        <v>44</v>
      </c>
      <c r="J202" s="13" t="s">
        <v>1332</v>
      </c>
      <c r="K202" s="14" t="s">
        <v>44</v>
      </c>
    </row>
    <row r="203" customFormat="false" ht="23.85" hidden="false" customHeight="false" outlineLevel="0" collapsed="false">
      <c r="A203" s="13" t="s">
        <v>1333</v>
      </c>
      <c r="B203" s="13" t="s">
        <v>1236</v>
      </c>
      <c r="C203" s="13" t="s">
        <v>430</v>
      </c>
      <c r="D203" s="13" t="s">
        <v>1334</v>
      </c>
      <c r="E203" s="13" t="s">
        <v>1335</v>
      </c>
      <c r="F203" s="13" t="s">
        <v>1336</v>
      </c>
      <c r="G203" s="13" t="s">
        <v>1337</v>
      </c>
      <c r="H203" s="13" t="s">
        <v>1337</v>
      </c>
      <c r="I203" s="14" t="s">
        <v>44</v>
      </c>
      <c r="J203" s="13" t="s">
        <v>1337</v>
      </c>
      <c r="K203" s="14" t="s">
        <v>44</v>
      </c>
    </row>
    <row r="204" customFormat="false" ht="15" hidden="false" customHeight="false" outlineLevel="0" collapsed="false">
      <c r="A204" s="13" t="s">
        <v>1338</v>
      </c>
      <c r="B204" s="13" t="s">
        <v>1236</v>
      </c>
      <c r="C204" s="13" t="s">
        <v>430</v>
      </c>
      <c r="D204" s="13" t="s">
        <v>1339</v>
      </c>
      <c r="E204" s="13" t="s">
        <v>1340</v>
      </c>
      <c r="F204" s="13" t="s">
        <v>1341</v>
      </c>
      <c r="G204" s="13" t="s">
        <v>1342</v>
      </c>
      <c r="H204" s="13" t="s">
        <v>1342</v>
      </c>
      <c r="I204" s="14" t="s">
        <v>44</v>
      </c>
      <c r="J204" s="13" t="s">
        <v>1342</v>
      </c>
      <c r="K204" s="14" t="s">
        <v>44</v>
      </c>
    </row>
    <row r="205" customFormat="false" ht="15" hidden="false" customHeight="false" outlineLevel="0" collapsed="false">
      <c r="A205" s="13" t="s">
        <v>1343</v>
      </c>
      <c r="B205" s="13" t="s">
        <v>1236</v>
      </c>
      <c r="C205" s="13" t="s">
        <v>487</v>
      </c>
      <c r="D205" s="13" t="s">
        <v>1344</v>
      </c>
      <c r="E205" s="13" t="s">
        <v>1345</v>
      </c>
      <c r="F205" s="13" t="s">
        <v>1346</v>
      </c>
      <c r="G205" s="13" t="s">
        <v>701</v>
      </c>
      <c r="H205" s="13" t="s">
        <v>701</v>
      </c>
      <c r="I205" s="14" t="s">
        <v>44</v>
      </c>
      <c r="J205" s="13" t="s">
        <v>701</v>
      </c>
      <c r="K205" s="14" t="s">
        <v>44</v>
      </c>
    </row>
    <row r="206" customFormat="false" ht="23.85" hidden="false" customHeight="false" outlineLevel="0" collapsed="false">
      <c r="A206" s="13" t="s">
        <v>1347</v>
      </c>
      <c r="B206" s="13" t="s">
        <v>1236</v>
      </c>
      <c r="C206" s="13" t="s">
        <v>773</v>
      </c>
      <c r="D206" s="13" t="s">
        <v>1348</v>
      </c>
      <c r="E206" s="13" t="s">
        <v>1349</v>
      </c>
      <c r="F206" s="13" t="s">
        <v>1350</v>
      </c>
      <c r="G206" s="13" t="s">
        <v>1351</v>
      </c>
      <c r="H206" s="13" t="s">
        <v>1351</v>
      </c>
      <c r="I206" s="14" t="s">
        <v>44</v>
      </c>
      <c r="J206" s="13" t="s">
        <v>1351</v>
      </c>
      <c r="K206" s="14" t="s">
        <v>44</v>
      </c>
    </row>
    <row r="207" customFormat="false" ht="23.85" hidden="false" customHeight="false" outlineLevel="0" collapsed="false">
      <c r="A207" s="13" t="s">
        <v>1352</v>
      </c>
      <c r="B207" s="13" t="s">
        <v>1236</v>
      </c>
      <c r="C207" s="13" t="s">
        <v>430</v>
      </c>
      <c r="D207" s="13" t="s">
        <v>1353</v>
      </c>
      <c r="E207" s="13" t="s">
        <v>1354</v>
      </c>
      <c r="F207" s="13" t="s">
        <v>1355</v>
      </c>
      <c r="G207" s="13" t="s">
        <v>1356</v>
      </c>
      <c r="H207" s="13" t="s">
        <v>1356</v>
      </c>
      <c r="I207" s="14" t="s">
        <v>44</v>
      </c>
      <c r="J207" s="13" t="s">
        <v>1356</v>
      </c>
      <c r="K207" s="14" t="s">
        <v>44</v>
      </c>
    </row>
    <row r="208" customFormat="false" ht="23.85" hidden="false" customHeight="false" outlineLevel="0" collapsed="false">
      <c r="A208" s="13" t="s">
        <v>1357</v>
      </c>
      <c r="B208" s="13" t="s">
        <v>1236</v>
      </c>
      <c r="C208" s="13" t="s">
        <v>430</v>
      </c>
      <c r="D208" s="13" t="s">
        <v>1358</v>
      </c>
      <c r="E208" s="13" t="s">
        <v>1359</v>
      </c>
      <c r="F208" s="13" t="s">
        <v>1360</v>
      </c>
      <c r="G208" s="13" t="s">
        <v>1361</v>
      </c>
      <c r="H208" s="13" t="s">
        <v>1361</v>
      </c>
      <c r="I208" s="14" t="s">
        <v>44</v>
      </c>
      <c r="J208" s="13" t="s">
        <v>1361</v>
      </c>
      <c r="K208" s="14" t="s">
        <v>44</v>
      </c>
    </row>
    <row r="209" customFormat="false" ht="15" hidden="false" customHeight="false" outlineLevel="0" collapsed="false">
      <c r="A209" s="13" t="s">
        <v>1362</v>
      </c>
      <c r="B209" s="13" t="s">
        <v>1236</v>
      </c>
      <c r="C209" s="13" t="s">
        <v>487</v>
      </c>
      <c r="D209" s="13" t="s">
        <v>1363</v>
      </c>
      <c r="E209" s="13" t="s">
        <v>1364</v>
      </c>
      <c r="F209" s="13" t="s">
        <v>1365</v>
      </c>
      <c r="G209" s="13" t="s">
        <v>813</v>
      </c>
      <c r="H209" s="13" t="s">
        <v>1366</v>
      </c>
      <c r="I209" s="15" t="s">
        <v>634</v>
      </c>
      <c r="J209" s="13" t="s">
        <v>813</v>
      </c>
      <c r="K209" s="14" t="s">
        <v>44</v>
      </c>
    </row>
    <row r="210" customFormat="false" ht="23.85" hidden="false" customHeight="false" outlineLevel="0" collapsed="false">
      <c r="A210" s="13" t="s">
        <v>1367</v>
      </c>
      <c r="B210" s="13" t="s">
        <v>1236</v>
      </c>
      <c r="C210" s="13" t="s">
        <v>458</v>
      </c>
      <c r="D210" s="13" t="s">
        <v>1368</v>
      </c>
      <c r="E210" s="13" t="s">
        <v>1369</v>
      </c>
      <c r="F210" s="13" t="s">
        <v>1370</v>
      </c>
      <c r="G210" s="13" t="s">
        <v>1371</v>
      </c>
      <c r="H210" s="13" t="s">
        <v>1371</v>
      </c>
      <c r="I210" s="14" t="s">
        <v>44</v>
      </c>
      <c r="J210" s="13" t="s">
        <v>1371</v>
      </c>
      <c r="K210" s="14" t="s">
        <v>44</v>
      </c>
    </row>
    <row r="211" customFormat="false" ht="15" hidden="false" customHeight="false" outlineLevel="0" collapsed="false">
      <c r="A211" s="13" t="s">
        <v>1372</v>
      </c>
      <c r="B211" s="13" t="s">
        <v>1236</v>
      </c>
      <c r="C211" s="13" t="s">
        <v>458</v>
      </c>
      <c r="D211" s="13" t="s">
        <v>1373</v>
      </c>
      <c r="E211" s="13" t="s">
        <v>1374</v>
      </c>
      <c r="F211" s="13" t="s">
        <v>1375</v>
      </c>
      <c r="G211" s="13" t="s">
        <v>1376</v>
      </c>
      <c r="H211" s="13" t="s">
        <v>1376</v>
      </c>
      <c r="I211" s="14" t="s">
        <v>44</v>
      </c>
      <c r="J211" s="13" t="s">
        <v>1376</v>
      </c>
      <c r="K211" s="14" t="s">
        <v>44</v>
      </c>
    </row>
    <row r="212" customFormat="false" ht="23.85" hidden="false" customHeight="false" outlineLevel="0" collapsed="false">
      <c r="A212" s="13" t="s">
        <v>1377</v>
      </c>
      <c r="B212" s="13" t="s">
        <v>1236</v>
      </c>
      <c r="C212" s="13" t="s">
        <v>430</v>
      </c>
      <c r="D212" s="13" t="s">
        <v>1378</v>
      </c>
      <c r="E212" s="13" t="s">
        <v>1379</v>
      </c>
      <c r="F212" s="13" t="s">
        <v>1380</v>
      </c>
      <c r="G212" s="13" t="s">
        <v>1381</v>
      </c>
      <c r="H212" s="13" t="s">
        <v>1381</v>
      </c>
      <c r="I212" s="14" t="s">
        <v>44</v>
      </c>
      <c r="J212" s="13" t="s">
        <v>1381</v>
      </c>
      <c r="K212" s="14" t="s">
        <v>44</v>
      </c>
    </row>
    <row r="213" customFormat="false" ht="15" hidden="false" customHeight="false" outlineLevel="0" collapsed="false">
      <c r="A213" s="13" t="s">
        <v>1382</v>
      </c>
      <c r="B213" s="13" t="s">
        <v>1236</v>
      </c>
      <c r="C213" s="13" t="s">
        <v>430</v>
      </c>
      <c r="D213" s="13" t="s">
        <v>1383</v>
      </c>
      <c r="E213" s="13" t="s">
        <v>1384</v>
      </c>
      <c r="F213" s="13" t="s">
        <v>1385</v>
      </c>
      <c r="G213" s="13" t="s">
        <v>1386</v>
      </c>
      <c r="H213" s="13" t="s">
        <v>1386</v>
      </c>
      <c r="I213" s="14" t="s">
        <v>44</v>
      </c>
      <c r="J213" s="13" t="s">
        <v>1386</v>
      </c>
      <c r="K213" s="14" t="s">
        <v>44</v>
      </c>
    </row>
    <row r="214" customFormat="false" ht="23.85" hidden="false" customHeight="false" outlineLevel="0" collapsed="false">
      <c r="A214" s="13" t="s">
        <v>1387</v>
      </c>
      <c r="B214" s="13" t="s">
        <v>1236</v>
      </c>
      <c r="C214" s="13" t="s">
        <v>773</v>
      </c>
      <c r="D214" s="13" t="s">
        <v>1388</v>
      </c>
      <c r="E214" s="13" t="s">
        <v>1389</v>
      </c>
      <c r="F214" s="13" t="s">
        <v>1390</v>
      </c>
      <c r="G214" s="13" t="s">
        <v>1391</v>
      </c>
      <c r="H214" s="13" t="s">
        <v>1391</v>
      </c>
      <c r="I214" s="14" t="s">
        <v>44</v>
      </c>
      <c r="J214" s="13" t="s">
        <v>1391</v>
      </c>
      <c r="K214" s="14" t="s">
        <v>44</v>
      </c>
    </row>
    <row r="215" customFormat="false" ht="23.85" hidden="false" customHeight="false" outlineLevel="0" collapsed="false">
      <c r="A215" s="13" t="s">
        <v>1392</v>
      </c>
      <c r="B215" s="13" t="s">
        <v>1236</v>
      </c>
      <c r="C215" s="13" t="s">
        <v>773</v>
      </c>
      <c r="D215" s="13" t="s">
        <v>1393</v>
      </c>
      <c r="E215" s="13" t="s">
        <v>1394</v>
      </c>
      <c r="F215" s="13" t="s">
        <v>1395</v>
      </c>
      <c r="G215" s="13" t="s">
        <v>1396</v>
      </c>
      <c r="H215" s="13" t="s">
        <v>1396</v>
      </c>
      <c r="I215" s="14" t="s">
        <v>44</v>
      </c>
      <c r="J215" s="13" t="s">
        <v>1396</v>
      </c>
      <c r="K215" s="14" t="s">
        <v>44</v>
      </c>
    </row>
    <row r="216" customFormat="false" ht="23.85" hidden="false" customHeight="false" outlineLevel="0" collapsed="false">
      <c r="A216" s="13" t="s">
        <v>1397</v>
      </c>
      <c r="B216" s="13" t="s">
        <v>1236</v>
      </c>
      <c r="C216" s="13" t="s">
        <v>773</v>
      </c>
      <c r="D216" s="13" t="s">
        <v>1398</v>
      </c>
      <c r="E216" s="13" t="s">
        <v>1399</v>
      </c>
      <c r="F216" s="13" t="s">
        <v>1400</v>
      </c>
      <c r="G216" s="13" t="s">
        <v>1401</v>
      </c>
      <c r="H216" s="13" t="s">
        <v>1401</v>
      </c>
      <c r="I216" s="14" t="s">
        <v>44</v>
      </c>
      <c r="J216" s="13" t="s">
        <v>1401</v>
      </c>
      <c r="K216" s="14" t="s">
        <v>44</v>
      </c>
    </row>
    <row r="217" customFormat="false" ht="23.85" hidden="false" customHeight="false" outlineLevel="0" collapsed="false">
      <c r="A217" s="13" t="s">
        <v>1402</v>
      </c>
      <c r="B217" s="13" t="s">
        <v>1236</v>
      </c>
      <c r="C217" s="13" t="s">
        <v>773</v>
      </c>
      <c r="D217" s="13" t="s">
        <v>1403</v>
      </c>
      <c r="E217" s="13" t="s">
        <v>1404</v>
      </c>
      <c r="F217" s="13" t="s">
        <v>1405</v>
      </c>
      <c r="G217" s="13" t="s">
        <v>1406</v>
      </c>
      <c r="H217" s="13" t="s">
        <v>1406</v>
      </c>
      <c r="I217" s="14" t="s">
        <v>44</v>
      </c>
      <c r="J217" s="13" t="s">
        <v>1406</v>
      </c>
      <c r="K217" s="14" t="s">
        <v>44</v>
      </c>
    </row>
    <row r="218" customFormat="false" ht="15" hidden="false" customHeight="false" outlineLevel="0" collapsed="false">
      <c r="A218" s="13" t="s">
        <v>1407</v>
      </c>
      <c r="B218" s="13" t="s">
        <v>1236</v>
      </c>
      <c r="C218" s="13" t="s">
        <v>487</v>
      </c>
      <c r="D218" s="13" t="s">
        <v>1408</v>
      </c>
      <c r="E218" s="13" t="s">
        <v>1409</v>
      </c>
      <c r="F218" s="13" t="s">
        <v>1410</v>
      </c>
      <c r="G218" s="13" t="s">
        <v>1406</v>
      </c>
      <c r="H218" s="13" t="s">
        <v>1406</v>
      </c>
      <c r="I218" s="14" t="s">
        <v>44</v>
      </c>
      <c r="J218" s="13" t="s">
        <v>1406</v>
      </c>
      <c r="K218" s="14" t="s">
        <v>44</v>
      </c>
    </row>
    <row r="219" customFormat="false" ht="23.85" hidden="false" customHeight="false" outlineLevel="0" collapsed="false">
      <c r="A219" s="13" t="s">
        <v>1411</v>
      </c>
      <c r="B219" s="13" t="s">
        <v>1236</v>
      </c>
      <c r="C219" s="13" t="s">
        <v>487</v>
      </c>
      <c r="D219" s="13" t="s">
        <v>1412</v>
      </c>
      <c r="E219" s="13" t="s">
        <v>1413</v>
      </c>
      <c r="F219" s="13" t="s">
        <v>1414</v>
      </c>
      <c r="G219" s="13" t="s">
        <v>701</v>
      </c>
      <c r="H219" s="13" t="s">
        <v>1415</v>
      </c>
      <c r="I219" s="15" t="s">
        <v>634</v>
      </c>
      <c r="J219" s="13" t="s">
        <v>701</v>
      </c>
      <c r="K219" s="14" t="s">
        <v>44</v>
      </c>
    </row>
    <row r="220" customFormat="false" ht="23.85" hidden="false" customHeight="false" outlineLevel="0" collapsed="false">
      <c r="A220" s="13" t="s">
        <v>1416</v>
      </c>
      <c r="B220" s="13" t="s">
        <v>1236</v>
      </c>
      <c r="C220" s="13" t="s">
        <v>852</v>
      </c>
      <c r="D220" s="13" t="s">
        <v>1417</v>
      </c>
      <c r="E220" s="13" t="s">
        <v>1418</v>
      </c>
      <c r="F220" s="13" t="s">
        <v>1419</v>
      </c>
      <c r="G220" s="13" t="s">
        <v>1420</v>
      </c>
      <c r="H220" s="13" t="s">
        <v>1421</v>
      </c>
      <c r="I220" s="15" t="s">
        <v>634</v>
      </c>
      <c r="J220" s="13" t="s">
        <v>1420</v>
      </c>
      <c r="K220" s="14" t="s">
        <v>44</v>
      </c>
    </row>
    <row r="221" customFormat="false" ht="23.85" hidden="false" customHeight="false" outlineLevel="0" collapsed="false">
      <c r="A221" s="13" t="s">
        <v>1422</v>
      </c>
      <c r="B221" s="13" t="s">
        <v>1236</v>
      </c>
      <c r="C221" s="13" t="s">
        <v>852</v>
      </c>
      <c r="D221" s="13" t="s">
        <v>1423</v>
      </c>
      <c r="E221" s="13" t="s">
        <v>1424</v>
      </c>
      <c r="F221" s="13" t="s">
        <v>1425</v>
      </c>
      <c r="G221" s="13" t="s">
        <v>1426</v>
      </c>
      <c r="H221" s="13" t="s">
        <v>1427</v>
      </c>
      <c r="I221" s="15" t="s">
        <v>634</v>
      </c>
      <c r="J221" s="13" t="s">
        <v>1426</v>
      </c>
      <c r="K221" s="14" t="s">
        <v>44</v>
      </c>
    </row>
    <row r="222" customFormat="false" ht="15" hidden="false" customHeight="false" outlineLevel="0" collapsed="false">
      <c r="A222" s="13" t="s">
        <v>1428</v>
      </c>
      <c r="B222" s="13" t="s">
        <v>1236</v>
      </c>
      <c r="C222" s="13" t="s">
        <v>852</v>
      </c>
      <c r="D222" s="13" t="s">
        <v>1429</v>
      </c>
      <c r="E222" s="13" t="s">
        <v>1430</v>
      </c>
      <c r="F222" s="13" t="s">
        <v>1431</v>
      </c>
      <c r="G222" s="13" t="s">
        <v>1432</v>
      </c>
      <c r="H222" s="13" t="s">
        <v>1433</v>
      </c>
      <c r="I222" s="15" t="s">
        <v>634</v>
      </c>
      <c r="J222" s="13" t="s">
        <v>1432</v>
      </c>
      <c r="K222" s="14" t="s">
        <v>44</v>
      </c>
    </row>
    <row r="223" customFormat="false" ht="15" hidden="false" customHeight="false" outlineLevel="0" collapsed="false">
      <c r="A223" s="13" t="s">
        <v>1434</v>
      </c>
      <c r="B223" s="13" t="s">
        <v>1435</v>
      </c>
      <c r="C223" s="13" t="s">
        <v>487</v>
      </c>
      <c r="D223" s="13" t="s">
        <v>1436</v>
      </c>
      <c r="E223" s="13" t="s">
        <v>1437</v>
      </c>
      <c r="F223" s="13" t="s">
        <v>1438</v>
      </c>
      <c r="G223" s="13" t="s">
        <v>701</v>
      </c>
      <c r="H223" s="13" t="s">
        <v>701</v>
      </c>
      <c r="I223" s="14" t="s">
        <v>44</v>
      </c>
      <c r="J223" s="13" t="s">
        <v>701</v>
      </c>
      <c r="K223" s="14" t="s">
        <v>44</v>
      </c>
    </row>
    <row r="224" customFormat="false" ht="15" hidden="false" customHeight="false" outlineLevel="0" collapsed="false">
      <c r="A224" s="13" t="s">
        <v>1439</v>
      </c>
      <c r="B224" s="13" t="s">
        <v>1435</v>
      </c>
      <c r="C224" s="13" t="s">
        <v>458</v>
      </c>
      <c r="D224" s="13" t="s">
        <v>895</v>
      </c>
      <c r="E224" s="13" t="s">
        <v>1440</v>
      </c>
      <c r="F224" s="13" t="s">
        <v>1441</v>
      </c>
      <c r="G224" s="13" t="s">
        <v>1133</v>
      </c>
      <c r="H224" s="13" t="s">
        <v>1133</v>
      </c>
      <c r="I224" s="14" t="s">
        <v>44</v>
      </c>
      <c r="J224" s="13" t="s">
        <v>1133</v>
      </c>
      <c r="K224" s="14" t="s">
        <v>44</v>
      </c>
    </row>
    <row r="225" customFormat="false" ht="15" hidden="false" customHeight="false" outlineLevel="0" collapsed="false">
      <c r="A225" s="13" t="s">
        <v>1442</v>
      </c>
      <c r="B225" s="13" t="s">
        <v>1435</v>
      </c>
      <c r="C225" s="13" t="s">
        <v>458</v>
      </c>
      <c r="D225" s="13" t="s">
        <v>895</v>
      </c>
      <c r="E225" s="13" t="s">
        <v>1443</v>
      </c>
      <c r="F225" s="13" t="s">
        <v>1444</v>
      </c>
      <c r="G225" s="13" t="s">
        <v>1445</v>
      </c>
      <c r="H225" s="13" t="s">
        <v>1445</v>
      </c>
      <c r="I225" s="14" t="s">
        <v>44</v>
      </c>
      <c r="J225" s="13" t="s">
        <v>1445</v>
      </c>
      <c r="K225" s="14" t="s">
        <v>44</v>
      </c>
    </row>
    <row r="226" customFormat="false" ht="23.85" hidden="false" customHeight="false" outlineLevel="0" collapsed="false">
      <c r="A226" s="13" t="s">
        <v>1446</v>
      </c>
      <c r="B226" s="13" t="s">
        <v>1435</v>
      </c>
      <c r="C226" s="13" t="s">
        <v>458</v>
      </c>
      <c r="D226" s="13" t="s">
        <v>1447</v>
      </c>
      <c r="E226" s="13" t="s">
        <v>1448</v>
      </c>
      <c r="F226" s="13" t="s">
        <v>1449</v>
      </c>
      <c r="G226" s="13" t="s">
        <v>1450</v>
      </c>
      <c r="H226" s="13" t="s">
        <v>1450</v>
      </c>
      <c r="I226" s="14" t="s">
        <v>44</v>
      </c>
      <c r="J226" s="13" t="s">
        <v>1450</v>
      </c>
      <c r="K226" s="14" t="s">
        <v>44</v>
      </c>
    </row>
    <row r="227" customFormat="false" ht="23.85" hidden="false" customHeight="false" outlineLevel="0" collapsed="false">
      <c r="A227" s="13" t="s">
        <v>1451</v>
      </c>
      <c r="B227" s="13" t="s">
        <v>1435</v>
      </c>
      <c r="C227" s="13" t="s">
        <v>458</v>
      </c>
      <c r="D227" s="13" t="s">
        <v>1452</v>
      </c>
      <c r="E227" s="13" t="s">
        <v>1453</v>
      </c>
      <c r="F227" s="13" t="s">
        <v>1454</v>
      </c>
      <c r="G227" s="13" t="s">
        <v>1455</v>
      </c>
      <c r="H227" s="13" t="s">
        <v>1455</v>
      </c>
      <c r="I227" s="14" t="s">
        <v>44</v>
      </c>
      <c r="J227" s="13" t="s">
        <v>1455</v>
      </c>
      <c r="K227" s="14" t="s">
        <v>44</v>
      </c>
    </row>
    <row r="228" customFormat="false" ht="23.85" hidden="false" customHeight="false" outlineLevel="0" collapsed="false">
      <c r="A228" s="13" t="s">
        <v>1456</v>
      </c>
      <c r="B228" s="13" t="s">
        <v>1435</v>
      </c>
      <c r="C228" s="13" t="s">
        <v>487</v>
      </c>
      <c r="D228" s="13" t="s">
        <v>1457</v>
      </c>
      <c r="E228" s="13" t="s">
        <v>1458</v>
      </c>
      <c r="F228" s="13" t="s">
        <v>1459</v>
      </c>
      <c r="G228" s="13" t="s">
        <v>1460</v>
      </c>
      <c r="H228" s="13" t="s">
        <v>1460</v>
      </c>
      <c r="I228" s="14" t="s">
        <v>44</v>
      </c>
      <c r="J228" s="13" t="s">
        <v>1460</v>
      </c>
      <c r="K228" s="14" t="s">
        <v>44</v>
      </c>
    </row>
    <row r="229" customFormat="false" ht="15" hidden="false" customHeight="false" outlineLevel="0" collapsed="false">
      <c r="A229" s="13" t="s">
        <v>1461</v>
      </c>
      <c r="B229" s="13" t="s">
        <v>1435</v>
      </c>
      <c r="C229" s="13" t="s">
        <v>430</v>
      </c>
      <c r="D229" s="13" t="s">
        <v>1462</v>
      </c>
      <c r="E229" s="13" t="s">
        <v>1463</v>
      </c>
      <c r="F229" s="13" t="s">
        <v>1464</v>
      </c>
      <c r="G229" s="13" t="s">
        <v>1465</v>
      </c>
      <c r="H229" s="13" t="s">
        <v>1465</v>
      </c>
      <c r="I229" s="14" t="s">
        <v>44</v>
      </c>
      <c r="J229" s="13" t="s">
        <v>1465</v>
      </c>
      <c r="K229" s="14" t="s">
        <v>44</v>
      </c>
    </row>
    <row r="230" customFormat="false" ht="15" hidden="false" customHeight="false" outlineLevel="0" collapsed="false">
      <c r="A230" s="13" t="s">
        <v>1466</v>
      </c>
      <c r="B230" s="13" t="s">
        <v>1435</v>
      </c>
      <c r="C230" s="13" t="s">
        <v>430</v>
      </c>
      <c r="D230" s="13" t="s">
        <v>1467</v>
      </c>
      <c r="E230" s="13" t="s">
        <v>1468</v>
      </c>
      <c r="F230" s="13" t="s">
        <v>1469</v>
      </c>
      <c r="G230" s="13" t="s">
        <v>1470</v>
      </c>
      <c r="H230" s="13" t="s">
        <v>1470</v>
      </c>
      <c r="I230" s="14" t="s">
        <v>44</v>
      </c>
      <c r="J230" s="13" t="s">
        <v>1470</v>
      </c>
      <c r="K230" s="14" t="s">
        <v>44</v>
      </c>
    </row>
    <row r="231" customFormat="false" ht="23.85" hidden="false" customHeight="false" outlineLevel="0" collapsed="false">
      <c r="A231" s="13" t="s">
        <v>1471</v>
      </c>
      <c r="B231" s="13" t="s">
        <v>1435</v>
      </c>
      <c r="C231" s="13" t="s">
        <v>487</v>
      </c>
      <c r="D231" s="13" t="s">
        <v>1472</v>
      </c>
      <c r="E231" s="13" t="s">
        <v>1473</v>
      </c>
      <c r="F231" s="13" t="s">
        <v>1474</v>
      </c>
      <c r="G231" s="13" t="s">
        <v>1475</v>
      </c>
      <c r="H231" s="13" t="s">
        <v>1475</v>
      </c>
      <c r="I231" s="14" t="s">
        <v>44</v>
      </c>
      <c r="J231" s="13" t="s">
        <v>1475</v>
      </c>
      <c r="K231" s="14" t="s">
        <v>44</v>
      </c>
    </row>
    <row r="232" customFormat="false" ht="15" hidden="false" customHeight="false" outlineLevel="0" collapsed="false">
      <c r="A232" s="13" t="s">
        <v>1476</v>
      </c>
      <c r="B232" s="13" t="s">
        <v>1435</v>
      </c>
      <c r="C232" s="13" t="s">
        <v>773</v>
      </c>
      <c r="D232" s="13" t="s">
        <v>929</v>
      </c>
      <c r="E232" s="13" t="s">
        <v>1477</v>
      </c>
      <c r="F232" s="13" t="s">
        <v>1478</v>
      </c>
      <c r="G232" s="13" t="s">
        <v>819</v>
      </c>
      <c r="H232" s="13" t="s">
        <v>819</v>
      </c>
      <c r="I232" s="14" t="s">
        <v>44</v>
      </c>
      <c r="J232" s="13" t="s">
        <v>819</v>
      </c>
      <c r="K232" s="14" t="s">
        <v>44</v>
      </c>
    </row>
    <row r="233" customFormat="false" ht="15" hidden="false" customHeight="false" outlineLevel="0" collapsed="false">
      <c r="A233" s="13" t="s">
        <v>1479</v>
      </c>
      <c r="B233" s="13" t="s">
        <v>868</v>
      </c>
      <c r="C233" s="13" t="s">
        <v>458</v>
      </c>
      <c r="D233" s="13" t="s">
        <v>1480</v>
      </c>
      <c r="E233" s="13" t="s">
        <v>1481</v>
      </c>
      <c r="F233" s="13" t="s">
        <v>1482</v>
      </c>
      <c r="G233" s="13" t="s">
        <v>1483</v>
      </c>
      <c r="H233" s="13" t="s">
        <v>1483</v>
      </c>
      <c r="I233" s="14" t="s">
        <v>44</v>
      </c>
      <c r="J233" s="13" t="s">
        <v>1483</v>
      </c>
      <c r="K233" s="14" t="s">
        <v>44</v>
      </c>
    </row>
  </sheetData>
  <autoFilter ref="A1:K2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50"/>
    <col collapsed="false" customWidth="true" hidden="false" outlineLevel="0" max="8" min="8" style="0" width="10"/>
    <col collapsed="false" customWidth="true" hidden="false" outlineLevel="0" max="9" min="9" style="0" width="36"/>
  </cols>
  <sheetData>
    <row r="1" customFormat="false" ht="35.05" hidden="false" customHeight="false" outlineLevel="0" collapsed="false">
      <c r="A1" s="12" t="s">
        <v>23</v>
      </c>
      <c r="B1" s="12" t="s">
        <v>24</v>
      </c>
      <c r="C1" s="12" t="s">
        <v>1484</v>
      </c>
      <c r="D1" s="12" t="s">
        <v>1485</v>
      </c>
      <c r="E1" s="12" t="s">
        <v>1486</v>
      </c>
      <c r="F1" s="12" t="s">
        <v>1487</v>
      </c>
      <c r="G1" s="12" t="s">
        <v>1488</v>
      </c>
      <c r="H1" s="12" t="s">
        <v>1489</v>
      </c>
      <c r="I1" s="12" t="s">
        <v>1490</v>
      </c>
    </row>
    <row r="2" customFormat="false" ht="23.85" hidden="false" customHeight="false" outlineLevel="0" collapsed="false">
      <c r="A2" s="13" t="s">
        <v>36</v>
      </c>
      <c r="B2" s="13" t="s">
        <v>37</v>
      </c>
      <c r="C2" s="13" t="n">
        <v>3</v>
      </c>
      <c r="D2" s="13" t="s">
        <v>1491</v>
      </c>
      <c r="E2" s="13" t="s">
        <v>1492</v>
      </c>
      <c r="F2" s="13" t="n">
        <v>3</v>
      </c>
      <c r="G2" s="13" t="s">
        <v>1493</v>
      </c>
      <c r="H2" s="16" t="n">
        <f aca="false">LEN(G2)-LEN(SUBSTITUTE(G2,",",""))+1</f>
        <v>3</v>
      </c>
      <c r="I2" s="13" t="s">
        <v>1494</v>
      </c>
    </row>
    <row r="3" customFormat="false" ht="15" hidden="false" customHeight="false" outlineLevel="0" collapsed="false">
      <c r="A3" s="13" t="s">
        <v>36</v>
      </c>
      <c r="B3" s="13" t="s">
        <v>37</v>
      </c>
      <c r="C3" s="13" t="n">
        <v>3</v>
      </c>
      <c r="D3" s="13" t="s">
        <v>1495</v>
      </c>
      <c r="E3" s="13" t="s">
        <v>1496</v>
      </c>
      <c r="F3" s="13" t="n">
        <v>3</v>
      </c>
      <c r="G3" s="13" t="s">
        <v>1493</v>
      </c>
      <c r="H3" s="16" t="n">
        <f aca="false">LEN(G3)-LEN(SUBSTITUTE(G3,",",""))+1</f>
        <v>3</v>
      </c>
      <c r="I3" s="13" t="s">
        <v>1497</v>
      </c>
    </row>
    <row r="4" customFormat="false" ht="23.85" hidden="false" customHeight="false" outlineLevel="0" collapsed="false">
      <c r="A4" s="13" t="s">
        <v>36</v>
      </c>
      <c r="B4" s="13" t="s">
        <v>37</v>
      </c>
      <c r="C4" s="13" t="n">
        <v>3</v>
      </c>
      <c r="D4" s="13" t="s">
        <v>1498</v>
      </c>
      <c r="E4" s="13" t="s">
        <v>1499</v>
      </c>
      <c r="F4" s="13" t="n">
        <v>3</v>
      </c>
      <c r="G4" s="13" t="s">
        <v>1493</v>
      </c>
      <c r="H4" s="16" t="n">
        <f aca="false">LEN(G4)-LEN(SUBSTITUTE(G4,",",""))+1</f>
        <v>3</v>
      </c>
      <c r="I4" s="13" t="s">
        <v>1500</v>
      </c>
    </row>
    <row r="5" customFormat="false" ht="15" hidden="false" customHeight="false" outlineLevel="0" collapsed="false">
      <c r="A5" s="13" t="s">
        <v>36</v>
      </c>
      <c r="B5" s="13" t="s">
        <v>37</v>
      </c>
      <c r="C5" s="13" t="n">
        <v>3</v>
      </c>
      <c r="D5" s="13" t="s">
        <v>1501</v>
      </c>
      <c r="E5" s="13" t="s">
        <v>1502</v>
      </c>
      <c r="F5" s="13" t="n">
        <v>0</v>
      </c>
      <c r="G5" s="13"/>
      <c r="H5" s="16" t="n">
        <f aca="false">LEN(G5)-LEN(SUBSTITUTE(G5,",",""))+1</f>
        <v>1</v>
      </c>
      <c r="I5" s="13" t="s">
        <v>1503</v>
      </c>
    </row>
    <row r="6" customFormat="false" ht="23.85" hidden="false" customHeight="false" outlineLevel="0" collapsed="false">
      <c r="A6" s="13" t="s">
        <v>36</v>
      </c>
      <c r="B6" s="13" t="s">
        <v>37</v>
      </c>
      <c r="C6" s="13" t="n">
        <v>3</v>
      </c>
      <c r="D6" s="13" t="s">
        <v>1504</v>
      </c>
      <c r="E6" s="13" t="s">
        <v>1505</v>
      </c>
      <c r="F6" s="13" t="n">
        <v>3</v>
      </c>
      <c r="G6" s="13" t="s">
        <v>1506</v>
      </c>
      <c r="H6" s="16" t="n">
        <f aca="false">LEN(G6)-LEN(SUBSTITUTE(G6,",",""))+1</f>
        <v>4</v>
      </c>
      <c r="I6" s="13" t="s">
        <v>1507</v>
      </c>
    </row>
    <row r="7" customFormat="false" ht="15" hidden="false" customHeight="false" outlineLevel="0" collapsed="false">
      <c r="A7" s="13" t="s">
        <v>88</v>
      </c>
      <c r="B7" s="13" t="s">
        <v>89</v>
      </c>
      <c r="C7" s="13" t="n">
        <v>4</v>
      </c>
      <c r="D7" s="13" t="s">
        <v>1491</v>
      </c>
      <c r="E7" s="13" t="s">
        <v>1508</v>
      </c>
      <c r="F7" s="13" t="n">
        <v>4</v>
      </c>
      <c r="G7" s="13" t="s">
        <v>1509</v>
      </c>
      <c r="H7" s="16" t="n">
        <f aca="false">LEN(G7)-LEN(SUBSTITUTE(G7,",",""))+1</f>
        <v>4</v>
      </c>
      <c r="I7" s="13" t="s">
        <v>1510</v>
      </c>
    </row>
    <row r="8" customFormat="false" ht="15" hidden="false" customHeight="false" outlineLevel="0" collapsed="false">
      <c r="A8" s="13" t="s">
        <v>88</v>
      </c>
      <c r="B8" s="13" t="s">
        <v>89</v>
      </c>
      <c r="C8" s="13" t="n">
        <v>4</v>
      </c>
      <c r="D8" s="13" t="s">
        <v>1495</v>
      </c>
      <c r="E8" s="13" t="s">
        <v>1511</v>
      </c>
      <c r="F8" s="13" t="n">
        <v>4</v>
      </c>
      <c r="G8" s="13" t="s">
        <v>1509</v>
      </c>
      <c r="H8" s="16" t="n">
        <f aca="false">LEN(G8)-LEN(SUBSTITUTE(G8,",",""))+1</f>
        <v>4</v>
      </c>
      <c r="I8" s="13" t="s">
        <v>1512</v>
      </c>
    </row>
    <row r="9" customFormat="false" ht="15" hidden="false" customHeight="false" outlineLevel="0" collapsed="false">
      <c r="A9" s="13" t="s">
        <v>88</v>
      </c>
      <c r="B9" s="13" t="s">
        <v>89</v>
      </c>
      <c r="C9" s="13" t="n">
        <v>4</v>
      </c>
      <c r="D9" s="13" t="s">
        <v>1498</v>
      </c>
      <c r="E9" s="13" t="s">
        <v>1513</v>
      </c>
      <c r="F9" s="13" t="n">
        <v>4</v>
      </c>
      <c r="G9" s="13" t="s">
        <v>1509</v>
      </c>
      <c r="H9" s="16" t="n">
        <f aca="false">LEN(G9)-LEN(SUBSTITUTE(G9,",",""))+1</f>
        <v>4</v>
      </c>
      <c r="I9" s="13"/>
    </row>
    <row r="10" customFormat="false" ht="15" hidden="false" customHeight="false" outlineLevel="0" collapsed="false">
      <c r="A10" s="13" t="s">
        <v>88</v>
      </c>
      <c r="B10" s="13" t="s">
        <v>89</v>
      </c>
      <c r="C10" s="13" t="n">
        <v>4</v>
      </c>
      <c r="D10" s="13" t="s">
        <v>1501</v>
      </c>
      <c r="E10" s="13" t="s">
        <v>1514</v>
      </c>
      <c r="F10" s="13" t="n">
        <v>0</v>
      </c>
      <c r="G10" s="13"/>
      <c r="H10" s="16" t="n">
        <f aca="false">LEN(G10)-LEN(SUBSTITUTE(G10,",",""))+1</f>
        <v>1</v>
      </c>
      <c r="I10" s="13"/>
    </row>
    <row r="11" customFormat="false" ht="35.05" hidden="false" customHeight="false" outlineLevel="0" collapsed="false">
      <c r="A11" s="13" t="s">
        <v>88</v>
      </c>
      <c r="B11" s="13" t="s">
        <v>89</v>
      </c>
      <c r="C11" s="13" t="n">
        <v>4</v>
      </c>
      <c r="D11" s="13" t="s">
        <v>1504</v>
      </c>
      <c r="E11" s="13" t="s">
        <v>1515</v>
      </c>
      <c r="F11" s="13" t="n">
        <v>4</v>
      </c>
      <c r="G11" s="13" t="s">
        <v>1509</v>
      </c>
      <c r="H11" s="16" t="n">
        <f aca="false">LEN(G11)-LEN(SUBSTITUTE(G11,",",""))+1</f>
        <v>4</v>
      </c>
      <c r="I11" s="13" t="s">
        <v>1516</v>
      </c>
    </row>
    <row r="12" customFormat="false" ht="23.85" hidden="false" customHeight="false" outlineLevel="0" collapsed="false">
      <c r="A12" s="13" t="s">
        <v>130</v>
      </c>
      <c r="B12" s="13" t="s">
        <v>131</v>
      </c>
      <c r="C12" s="13" t="n">
        <v>5</v>
      </c>
      <c r="D12" s="13" t="s">
        <v>1491</v>
      </c>
      <c r="E12" s="13" t="s">
        <v>1517</v>
      </c>
      <c r="F12" s="13" t="n">
        <v>1</v>
      </c>
      <c r="G12" s="13" t="s">
        <v>151</v>
      </c>
      <c r="H12" s="16" t="n">
        <f aca="false">LEN(G12)-LEN(SUBSTITUTE(G12,",",""))+1</f>
        <v>1</v>
      </c>
      <c r="I12" s="13" t="s">
        <v>1518</v>
      </c>
    </row>
    <row r="13" customFormat="false" ht="23.85" hidden="false" customHeight="false" outlineLevel="0" collapsed="false">
      <c r="A13" s="13" t="s">
        <v>130</v>
      </c>
      <c r="B13" s="13" t="s">
        <v>131</v>
      </c>
      <c r="C13" s="13" t="n">
        <v>5</v>
      </c>
      <c r="D13" s="13" t="s">
        <v>1495</v>
      </c>
      <c r="E13" s="13" t="s">
        <v>1519</v>
      </c>
      <c r="F13" s="13" t="n">
        <v>2</v>
      </c>
      <c r="G13" s="13" t="s">
        <v>1520</v>
      </c>
      <c r="H13" s="16" t="n">
        <f aca="false">LEN(G13)-LEN(SUBSTITUTE(G13,",",""))+1</f>
        <v>2</v>
      </c>
      <c r="I13" s="13" t="s">
        <v>1521</v>
      </c>
    </row>
    <row r="14" customFormat="false" ht="23.85" hidden="false" customHeight="false" outlineLevel="0" collapsed="false">
      <c r="A14" s="13" t="s">
        <v>130</v>
      </c>
      <c r="B14" s="13" t="s">
        <v>131</v>
      </c>
      <c r="C14" s="13" t="n">
        <v>5</v>
      </c>
      <c r="D14" s="13" t="s">
        <v>1498</v>
      </c>
      <c r="E14" s="13" t="s">
        <v>1522</v>
      </c>
      <c r="F14" s="13" t="n">
        <v>2</v>
      </c>
      <c r="G14" s="13" t="s">
        <v>1523</v>
      </c>
      <c r="H14" s="16" t="n">
        <f aca="false">LEN(G14)-LEN(SUBSTITUTE(G14,",",""))+1</f>
        <v>2</v>
      </c>
      <c r="I14" s="13" t="s">
        <v>1524</v>
      </c>
    </row>
    <row r="15" customFormat="false" ht="23.85" hidden="false" customHeight="false" outlineLevel="0" collapsed="false">
      <c r="A15" s="13" t="s">
        <v>130</v>
      </c>
      <c r="B15" s="13" t="s">
        <v>131</v>
      </c>
      <c r="C15" s="13" t="n">
        <v>5</v>
      </c>
      <c r="D15" s="13" t="s">
        <v>1501</v>
      </c>
      <c r="E15" s="13" t="s">
        <v>1525</v>
      </c>
      <c r="F15" s="13" t="n">
        <v>4</v>
      </c>
      <c r="G15" s="13" t="s">
        <v>1526</v>
      </c>
      <c r="H15" s="16" t="n">
        <f aca="false">LEN(G15)-LEN(SUBSTITUTE(G15,",",""))+1</f>
        <v>4</v>
      </c>
      <c r="I15" s="13" t="s">
        <v>1527</v>
      </c>
    </row>
    <row r="16" customFormat="false" ht="23.85" hidden="false" customHeight="false" outlineLevel="0" collapsed="false">
      <c r="A16" s="13" t="s">
        <v>130</v>
      </c>
      <c r="B16" s="13" t="s">
        <v>131</v>
      </c>
      <c r="C16" s="13" t="n">
        <v>5</v>
      </c>
      <c r="D16" s="13" t="s">
        <v>1504</v>
      </c>
      <c r="E16" s="13" t="s">
        <v>1528</v>
      </c>
      <c r="F16" s="13" t="n">
        <v>5</v>
      </c>
      <c r="G16" s="13" t="s">
        <v>1529</v>
      </c>
      <c r="H16" s="16" t="n">
        <f aca="false">LEN(G16)-LEN(SUBSTITUTE(G16,",",""))+1</f>
        <v>5</v>
      </c>
      <c r="I16" s="13" t="s">
        <v>1530</v>
      </c>
    </row>
    <row r="17" customFormat="false" ht="15" hidden="false" customHeight="false" outlineLevel="0" collapsed="false">
      <c r="A17" s="13" t="s">
        <v>196</v>
      </c>
      <c r="B17" s="13" t="s">
        <v>131</v>
      </c>
      <c r="C17" s="13" t="n">
        <v>5</v>
      </c>
      <c r="D17" s="13" t="s">
        <v>1491</v>
      </c>
      <c r="E17" s="13" t="s">
        <v>1531</v>
      </c>
      <c r="F17" s="13" t="n">
        <v>1</v>
      </c>
      <c r="G17" s="13" t="s">
        <v>224</v>
      </c>
      <c r="H17" s="16" t="n">
        <f aca="false">LEN(G17)-LEN(SUBSTITUTE(G17,",",""))+1</f>
        <v>1</v>
      </c>
      <c r="I17" s="13"/>
    </row>
    <row r="18" customFormat="false" ht="15" hidden="false" customHeight="false" outlineLevel="0" collapsed="false">
      <c r="A18" s="13" t="s">
        <v>196</v>
      </c>
      <c r="B18" s="13" t="s">
        <v>131</v>
      </c>
      <c r="C18" s="13" t="n">
        <v>5</v>
      </c>
      <c r="D18" s="13" t="s">
        <v>1495</v>
      </c>
      <c r="E18" s="13" t="s">
        <v>1532</v>
      </c>
      <c r="F18" s="13" t="n">
        <v>2</v>
      </c>
      <c r="G18" s="13" t="s">
        <v>1533</v>
      </c>
      <c r="H18" s="16" t="n">
        <f aca="false">LEN(G18)-LEN(SUBSTITUTE(G18,",",""))+1</f>
        <v>2</v>
      </c>
      <c r="I18" s="13"/>
    </row>
    <row r="19" customFormat="false" ht="23.85" hidden="false" customHeight="false" outlineLevel="0" collapsed="false">
      <c r="A19" s="13" t="s">
        <v>196</v>
      </c>
      <c r="B19" s="13" t="s">
        <v>131</v>
      </c>
      <c r="C19" s="13" t="n">
        <v>5</v>
      </c>
      <c r="D19" s="13" t="s">
        <v>1498</v>
      </c>
      <c r="E19" s="13" t="s">
        <v>1534</v>
      </c>
      <c r="F19" s="13" t="n">
        <v>6</v>
      </c>
      <c r="G19" s="13" t="s">
        <v>1535</v>
      </c>
      <c r="H19" s="16" t="n">
        <f aca="false">LEN(G19)-LEN(SUBSTITUTE(G19,",",""))+1</f>
        <v>6</v>
      </c>
      <c r="I19" s="13" t="s">
        <v>1536</v>
      </c>
    </row>
    <row r="20" customFormat="false" ht="23.85" hidden="false" customHeight="false" outlineLevel="0" collapsed="false">
      <c r="A20" s="13" t="s">
        <v>196</v>
      </c>
      <c r="B20" s="13" t="s">
        <v>131</v>
      </c>
      <c r="C20" s="13" t="n">
        <v>5</v>
      </c>
      <c r="D20" s="13" t="s">
        <v>1501</v>
      </c>
      <c r="E20" s="13" t="s">
        <v>1537</v>
      </c>
      <c r="F20" s="13" t="n">
        <v>6</v>
      </c>
      <c r="G20" s="13" t="s">
        <v>1535</v>
      </c>
      <c r="H20" s="16" t="n">
        <f aca="false">LEN(G20)-LEN(SUBSTITUTE(G20,",",""))+1</f>
        <v>6</v>
      </c>
      <c r="I20" s="13" t="s">
        <v>1538</v>
      </c>
    </row>
    <row r="21" customFormat="false" ht="46.25" hidden="false" customHeight="false" outlineLevel="0" collapsed="false">
      <c r="A21" s="13" t="s">
        <v>196</v>
      </c>
      <c r="B21" s="13" t="s">
        <v>131</v>
      </c>
      <c r="C21" s="13" t="n">
        <v>5</v>
      </c>
      <c r="D21" s="13" t="s">
        <v>1504</v>
      </c>
      <c r="E21" s="13" t="s">
        <v>1539</v>
      </c>
      <c r="F21" s="13" t="n">
        <v>5</v>
      </c>
      <c r="G21" s="13" t="s">
        <v>1540</v>
      </c>
      <c r="H21" s="16" t="n">
        <f aca="false">LEN(G21)-LEN(SUBSTITUTE(G21,",",""))+1</f>
        <v>5</v>
      </c>
      <c r="I21" s="13" t="s">
        <v>1541</v>
      </c>
    </row>
    <row r="22" customFormat="false" ht="23.85" hidden="false" customHeight="false" outlineLevel="0" collapsed="false">
      <c r="A22" s="13" t="s">
        <v>244</v>
      </c>
      <c r="B22" s="13" t="s">
        <v>245</v>
      </c>
      <c r="C22" s="13" t="n">
        <v>12</v>
      </c>
      <c r="D22" s="13" t="s">
        <v>1491</v>
      </c>
      <c r="E22" s="13" t="s">
        <v>1542</v>
      </c>
      <c r="F22" s="13" t="n">
        <v>7</v>
      </c>
      <c r="G22" s="13" t="s">
        <v>1543</v>
      </c>
      <c r="H22" s="16" t="n">
        <f aca="false">LEN(G22)-LEN(SUBSTITUTE(G22,",",""))+1</f>
        <v>7</v>
      </c>
      <c r="I22" s="13" t="s">
        <v>1544</v>
      </c>
    </row>
    <row r="23" customFormat="false" ht="35.05" hidden="false" customHeight="false" outlineLevel="0" collapsed="false">
      <c r="A23" s="13" t="s">
        <v>244</v>
      </c>
      <c r="B23" s="13" t="s">
        <v>245</v>
      </c>
      <c r="C23" s="13" t="n">
        <v>12</v>
      </c>
      <c r="D23" s="13" t="s">
        <v>1495</v>
      </c>
      <c r="E23" s="13" t="s">
        <v>1545</v>
      </c>
      <c r="F23" s="13" t="n">
        <v>12</v>
      </c>
      <c r="G23" s="13" t="s">
        <v>1546</v>
      </c>
      <c r="H23" s="16" t="n">
        <f aca="false">LEN(G23)-LEN(SUBSTITUTE(G23,",",""))+1</f>
        <v>12</v>
      </c>
      <c r="I23" s="13"/>
    </row>
    <row r="24" customFormat="false" ht="23.85" hidden="false" customHeight="false" outlineLevel="0" collapsed="false">
      <c r="A24" s="13" t="s">
        <v>244</v>
      </c>
      <c r="B24" s="13" t="s">
        <v>245</v>
      </c>
      <c r="C24" s="13" t="n">
        <v>12</v>
      </c>
      <c r="D24" s="13" t="s">
        <v>1498</v>
      </c>
      <c r="E24" s="13" t="s">
        <v>1547</v>
      </c>
      <c r="F24" s="13" t="n">
        <v>9</v>
      </c>
      <c r="G24" s="13" t="s">
        <v>1548</v>
      </c>
      <c r="H24" s="16" t="n">
        <f aca="false">LEN(G24)-LEN(SUBSTITUTE(G24,",",""))+1</f>
        <v>9</v>
      </c>
      <c r="I24" s="13"/>
    </row>
    <row r="25" customFormat="false" ht="35.05" hidden="false" customHeight="false" outlineLevel="0" collapsed="false">
      <c r="A25" s="13" t="s">
        <v>244</v>
      </c>
      <c r="B25" s="13" t="s">
        <v>245</v>
      </c>
      <c r="C25" s="13" t="n">
        <v>12</v>
      </c>
      <c r="D25" s="13" t="s">
        <v>1501</v>
      </c>
      <c r="E25" s="13" t="s">
        <v>1549</v>
      </c>
      <c r="F25" s="13" t="n">
        <v>9</v>
      </c>
      <c r="G25" s="13" t="s">
        <v>1548</v>
      </c>
      <c r="H25" s="16" t="n">
        <f aca="false">LEN(G25)-LEN(SUBSTITUTE(G25,",",""))+1</f>
        <v>9</v>
      </c>
      <c r="I25" s="13" t="s">
        <v>1550</v>
      </c>
    </row>
    <row r="26" customFormat="false" ht="35.05" hidden="false" customHeight="false" outlineLevel="0" collapsed="false">
      <c r="A26" s="13" t="s">
        <v>244</v>
      </c>
      <c r="B26" s="13" t="s">
        <v>245</v>
      </c>
      <c r="C26" s="13" t="n">
        <v>12</v>
      </c>
      <c r="D26" s="13" t="s">
        <v>1504</v>
      </c>
      <c r="E26" s="13" t="s">
        <v>1551</v>
      </c>
      <c r="F26" s="13" t="n">
        <v>12</v>
      </c>
      <c r="G26" s="13" t="s">
        <v>1546</v>
      </c>
      <c r="H26" s="16" t="n">
        <f aca="false">LEN(G26)-LEN(SUBSTITUTE(G26,",",""))+1</f>
        <v>12</v>
      </c>
      <c r="I26" s="13" t="s">
        <v>1552</v>
      </c>
    </row>
    <row r="27" customFormat="false" ht="23.85" hidden="false" customHeight="false" outlineLevel="0" collapsed="false">
      <c r="A27" s="13" t="s">
        <v>333</v>
      </c>
      <c r="B27" s="13" t="s">
        <v>334</v>
      </c>
      <c r="C27" s="13" t="n">
        <v>6</v>
      </c>
      <c r="D27" s="13" t="s">
        <v>1491</v>
      </c>
      <c r="E27" s="13" t="s">
        <v>1553</v>
      </c>
      <c r="F27" s="13" t="n">
        <v>3</v>
      </c>
      <c r="G27" s="13" t="s">
        <v>1554</v>
      </c>
      <c r="H27" s="16" t="n">
        <f aca="false">LEN(G27)-LEN(SUBSTITUTE(G27,",",""))+1</f>
        <v>3</v>
      </c>
      <c r="I27" s="13" t="s">
        <v>1555</v>
      </c>
    </row>
    <row r="28" customFormat="false" ht="23.85" hidden="false" customHeight="false" outlineLevel="0" collapsed="false">
      <c r="A28" s="13" t="s">
        <v>333</v>
      </c>
      <c r="B28" s="13" t="s">
        <v>334</v>
      </c>
      <c r="C28" s="13" t="n">
        <v>6</v>
      </c>
      <c r="D28" s="13" t="s">
        <v>1495</v>
      </c>
      <c r="E28" s="13" t="s">
        <v>1556</v>
      </c>
      <c r="F28" s="13" t="n">
        <v>4</v>
      </c>
      <c r="G28" s="13" t="s">
        <v>1557</v>
      </c>
      <c r="H28" s="16" t="n">
        <f aca="false">LEN(G28)-LEN(SUBSTITUTE(G28,",",""))+1</f>
        <v>4</v>
      </c>
      <c r="I28" s="13"/>
    </row>
    <row r="29" customFormat="false" ht="23.85" hidden="false" customHeight="false" outlineLevel="0" collapsed="false">
      <c r="A29" s="13" t="s">
        <v>333</v>
      </c>
      <c r="B29" s="13" t="s">
        <v>334</v>
      </c>
      <c r="C29" s="13" t="n">
        <v>6</v>
      </c>
      <c r="D29" s="13" t="s">
        <v>1498</v>
      </c>
      <c r="E29" s="13" t="s">
        <v>1558</v>
      </c>
      <c r="F29" s="13" t="n">
        <v>5</v>
      </c>
      <c r="G29" s="13" t="s">
        <v>1559</v>
      </c>
      <c r="H29" s="16" t="n">
        <f aca="false">LEN(G29)-LEN(SUBSTITUTE(G29,",",""))+1</f>
        <v>6</v>
      </c>
      <c r="I29" s="13" t="s">
        <v>1560</v>
      </c>
    </row>
    <row r="30" customFormat="false" ht="23.85" hidden="false" customHeight="false" outlineLevel="0" collapsed="false">
      <c r="A30" s="13" t="s">
        <v>333</v>
      </c>
      <c r="B30" s="13" t="s">
        <v>334</v>
      </c>
      <c r="C30" s="13" t="n">
        <v>6</v>
      </c>
      <c r="D30" s="13" t="s">
        <v>1501</v>
      </c>
      <c r="E30" s="13" t="s">
        <v>1561</v>
      </c>
      <c r="F30" s="13" t="n">
        <v>6</v>
      </c>
      <c r="G30" s="13" t="s">
        <v>1562</v>
      </c>
      <c r="H30" s="16" t="n">
        <f aca="false">LEN(G30)-LEN(SUBSTITUTE(G30,",",""))+1</f>
        <v>6</v>
      </c>
      <c r="I30" s="13" t="s">
        <v>1563</v>
      </c>
    </row>
    <row r="31" customFormat="false" ht="23.85" hidden="false" customHeight="false" outlineLevel="0" collapsed="false">
      <c r="A31" s="13" t="s">
        <v>333</v>
      </c>
      <c r="B31" s="13" t="s">
        <v>334</v>
      </c>
      <c r="C31" s="13" t="n">
        <v>6</v>
      </c>
      <c r="D31" s="13" t="s">
        <v>1504</v>
      </c>
      <c r="E31" s="13" t="s">
        <v>1564</v>
      </c>
      <c r="F31" s="13" t="n">
        <v>6</v>
      </c>
      <c r="G31" s="13" t="s">
        <v>1565</v>
      </c>
      <c r="H31" s="16" t="n">
        <f aca="false">LEN(G31)-LEN(SUBSTITUTE(G31,",",""))+1</f>
        <v>6</v>
      </c>
      <c r="I31" s="13" t="s">
        <v>1566</v>
      </c>
    </row>
  </sheetData>
  <autoFilter ref="A1:I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9" min="4" style="0" width="12"/>
  </cols>
  <sheetData>
    <row r="1" customFormat="false" ht="35.05" hidden="false" customHeight="false" outlineLevel="0" collapsed="false">
      <c r="A1" s="12" t="s">
        <v>23</v>
      </c>
      <c r="B1" s="12" t="s">
        <v>24</v>
      </c>
      <c r="C1" s="12" t="s">
        <v>1567</v>
      </c>
      <c r="D1" s="12" t="s">
        <v>1568</v>
      </c>
      <c r="E1" s="12" t="s">
        <v>1569</v>
      </c>
      <c r="F1" s="12" t="s">
        <v>1570</v>
      </c>
      <c r="G1" s="12" t="s">
        <v>1571</v>
      </c>
      <c r="H1" s="12" t="s">
        <v>1572</v>
      </c>
      <c r="I1" s="12" t="s">
        <v>1573</v>
      </c>
    </row>
    <row r="2" customFormat="false" ht="15" hidden="false" customHeight="false" outlineLevel="0" collapsed="false">
      <c r="A2" s="13" t="s">
        <v>36</v>
      </c>
      <c r="B2" s="13" t="s">
        <v>37</v>
      </c>
      <c r="C2" s="13" t="s">
        <v>1574</v>
      </c>
      <c r="D2" s="13" t="n">
        <v>9</v>
      </c>
      <c r="E2" s="13" t="n">
        <v>9</v>
      </c>
      <c r="F2" s="17" t="n">
        <f aca="false">E2/D2</f>
        <v>1</v>
      </c>
      <c r="G2" s="13" t="n">
        <v>6</v>
      </c>
      <c r="H2" s="13" t="n">
        <v>6</v>
      </c>
      <c r="I2" s="17" t="n">
        <f aca="false">H2/G2</f>
        <v>1</v>
      </c>
    </row>
    <row r="3" customFormat="false" ht="15" hidden="false" customHeight="false" outlineLevel="0" collapsed="false">
      <c r="A3" s="13" t="s">
        <v>88</v>
      </c>
      <c r="B3" s="13" t="s">
        <v>89</v>
      </c>
      <c r="C3" s="13" t="s">
        <v>1575</v>
      </c>
      <c r="D3" s="13" t="n">
        <v>6</v>
      </c>
      <c r="E3" s="13" t="n">
        <v>6</v>
      </c>
      <c r="F3" s="17" t="n">
        <f aca="false">E3/D3</f>
        <v>1</v>
      </c>
      <c r="G3" s="13" t="n">
        <v>8</v>
      </c>
      <c r="H3" s="13" t="n">
        <v>8</v>
      </c>
      <c r="I3" s="17" t="n">
        <f aca="false">H3/G3</f>
        <v>1</v>
      </c>
    </row>
    <row r="4" customFormat="false" ht="15" hidden="false" customHeight="false" outlineLevel="0" collapsed="false">
      <c r="A4" s="13" t="s">
        <v>130</v>
      </c>
      <c r="B4" s="13" t="s">
        <v>131</v>
      </c>
      <c r="C4" s="13" t="s">
        <v>1576</v>
      </c>
      <c r="D4" s="13" t="n">
        <v>18</v>
      </c>
      <c r="E4" s="13" t="n">
        <v>18</v>
      </c>
      <c r="F4" s="17" t="n">
        <f aca="false">E4/D4</f>
        <v>1</v>
      </c>
      <c r="G4" s="13" t="n">
        <v>10</v>
      </c>
      <c r="H4" s="13" t="n">
        <v>10</v>
      </c>
      <c r="I4" s="17" t="n">
        <f aca="false">H4/G4</f>
        <v>1</v>
      </c>
    </row>
    <row r="5" customFormat="false" ht="15" hidden="false" customHeight="false" outlineLevel="0" collapsed="false">
      <c r="A5" s="13" t="s">
        <v>196</v>
      </c>
      <c r="B5" s="13" t="s">
        <v>131</v>
      </c>
      <c r="C5" s="13" t="s">
        <v>1577</v>
      </c>
      <c r="D5" s="13" t="n">
        <v>6</v>
      </c>
      <c r="E5" s="13" t="n">
        <v>6</v>
      </c>
      <c r="F5" s="17" t="n">
        <f aca="false">E5/D5</f>
        <v>1</v>
      </c>
      <c r="G5" s="13" t="n">
        <v>5</v>
      </c>
      <c r="H5" s="13" t="n">
        <v>5</v>
      </c>
      <c r="I5" s="17" t="n">
        <f aca="false">H5/G5</f>
        <v>1</v>
      </c>
    </row>
    <row r="6" customFormat="false" ht="15" hidden="false" customHeight="false" outlineLevel="0" collapsed="false">
      <c r="A6" s="13" t="s">
        <v>1578</v>
      </c>
      <c r="B6" s="13" t="s">
        <v>245</v>
      </c>
      <c r="C6" s="13" t="s">
        <v>1579</v>
      </c>
      <c r="D6" s="13" t="n">
        <v>19</v>
      </c>
      <c r="E6" s="13" t="n">
        <v>19</v>
      </c>
      <c r="F6" s="17" t="n">
        <f aca="false">E6/D6</f>
        <v>1</v>
      </c>
      <c r="G6" s="13" t="n">
        <v>19</v>
      </c>
      <c r="H6" s="13" t="n">
        <v>19</v>
      </c>
      <c r="I6" s="17" t="n">
        <f aca="false">H6/G6</f>
        <v>1</v>
      </c>
    </row>
    <row r="7" customFormat="false" ht="15" hidden="false" customHeight="false" outlineLevel="0" collapsed="false">
      <c r="A7" s="13" t="s">
        <v>333</v>
      </c>
      <c r="B7" s="13" t="s">
        <v>334</v>
      </c>
      <c r="C7" s="13" t="s">
        <v>1580</v>
      </c>
      <c r="D7" s="13" t="n">
        <v>39</v>
      </c>
      <c r="E7" s="13" t="n">
        <v>39</v>
      </c>
      <c r="F7" s="17" t="n">
        <f aca="false">E7/D7</f>
        <v>1</v>
      </c>
      <c r="G7" s="13" t="n">
        <v>26</v>
      </c>
      <c r="H7" s="13" t="n">
        <v>26</v>
      </c>
      <c r="I7" s="17" t="n">
        <f aca="false">H7/G7</f>
        <v>1</v>
      </c>
    </row>
    <row r="8" customFormat="false" ht="15" hidden="false" customHeight="false" outlineLevel="0" collapsed="false">
      <c r="A8" s="18" t="s">
        <v>1581</v>
      </c>
      <c r="B8" s="18"/>
      <c r="C8" s="18"/>
      <c r="D8" s="18" t="n">
        <f aca="false">SUM(D2:D7)</f>
        <v>97</v>
      </c>
      <c r="E8" s="18" t="n">
        <f aca="false">SUM(E2:E7)</f>
        <v>97</v>
      </c>
      <c r="F8" s="19" t="n">
        <f aca="false">E8/D8</f>
        <v>1</v>
      </c>
      <c r="G8" s="18" t="n">
        <f aca="false">SUM(G2:G7)</f>
        <v>74</v>
      </c>
      <c r="H8" s="18" t="n">
        <f aca="false">SUM(H2:H7)</f>
        <v>74</v>
      </c>
      <c r="I8" s="19" t="n">
        <f aca="false">H8/G8</f>
        <v>1</v>
      </c>
    </row>
    <row r="10" customFormat="false" ht="15" hidden="false" customHeight="false" outlineLevel="0" collapsed="false">
      <c r="A10" s="2" t="s">
        <v>1582</v>
      </c>
    </row>
  </sheetData>
  <autoFilter ref="A1:I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2"/>
  </cols>
  <sheetData>
    <row r="1" customFormat="false" ht="23.85" hidden="false" customHeight="false" outlineLevel="0" collapsed="false">
      <c r="A1" s="12" t="s">
        <v>23</v>
      </c>
      <c r="B1" s="12" t="s">
        <v>1583</v>
      </c>
      <c r="C1" s="12" t="s">
        <v>1584</v>
      </c>
      <c r="D1" s="12" t="s">
        <v>1585</v>
      </c>
      <c r="E1" s="12" t="s">
        <v>1586</v>
      </c>
      <c r="F1" s="12" t="s">
        <v>1587</v>
      </c>
    </row>
    <row r="2" customFormat="false" ht="15" hidden="false" customHeight="false" outlineLevel="0" collapsed="false">
      <c r="A2" s="13" t="s">
        <v>36</v>
      </c>
      <c r="B2" s="13" t="n">
        <v>8</v>
      </c>
      <c r="C2" s="13" t="n">
        <v>9</v>
      </c>
      <c r="D2" s="13" t="n">
        <f aca="false">C2-B2+2</f>
        <v>3</v>
      </c>
      <c r="E2" s="13" t="n">
        <v>3</v>
      </c>
      <c r="F2" s="13" t="str">
        <f aca="false">IF(D2=E2,"Sí","NO")</f>
        <v>Sí</v>
      </c>
    </row>
    <row r="3" customFormat="false" ht="15" hidden="false" customHeight="false" outlineLevel="0" collapsed="false">
      <c r="A3" s="13" t="s">
        <v>88</v>
      </c>
      <c r="B3" s="13" t="n">
        <v>9</v>
      </c>
      <c r="C3" s="13" t="n">
        <v>11</v>
      </c>
      <c r="D3" s="13" t="n">
        <f aca="false">C3-B3+2</f>
        <v>4</v>
      </c>
      <c r="E3" s="13" t="n">
        <v>4</v>
      </c>
      <c r="F3" s="13" t="str">
        <f aca="false">IF(D3=E3,"Sí","NO")</f>
        <v>Sí</v>
      </c>
    </row>
    <row r="4" customFormat="false" ht="15" hidden="false" customHeight="false" outlineLevel="0" collapsed="false">
      <c r="A4" s="13" t="s">
        <v>130</v>
      </c>
      <c r="B4" s="13" t="n">
        <v>11</v>
      </c>
      <c r="C4" s="13" t="n">
        <v>14</v>
      </c>
      <c r="D4" s="13" t="n">
        <f aca="false">C4-B4+2</f>
        <v>5</v>
      </c>
      <c r="E4" s="13" t="n">
        <v>5</v>
      </c>
      <c r="F4" s="13" t="str">
        <f aca="false">IF(D4=E4,"Sí","NO")</f>
        <v>Sí</v>
      </c>
    </row>
    <row r="5" customFormat="false" ht="15" hidden="false" customHeight="false" outlineLevel="0" collapsed="false">
      <c r="A5" s="13" t="s">
        <v>196</v>
      </c>
      <c r="B5" s="13" t="n">
        <v>8</v>
      </c>
      <c r="C5" s="13" t="n">
        <v>11</v>
      </c>
      <c r="D5" s="13" t="n">
        <f aca="false">C5-B5+2</f>
        <v>5</v>
      </c>
      <c r="E5" s="13" t="n">
        <v>5</v>
      </c>
      <c r="F5" s="13" t="str">
        <f aca="false">IF(D5=E5,"Sí","NO")</f>
        <v>Sí</v>
      </c>
    </row>
    <row r="6" customFormat="false" ht="15" hidden="false" customHeight="false" outlineLevel="0" collapsed="false">
      <c r="A6" s="13" t="s">
        <v>244</v>
      </c>
      <c r="B6" s="13" t="n">
        <v>22</v>
      </c>
      <c r="C6" s="13" t="n">
        <v>32</v>
      </c>
      <c r="D6" s="13" t="n">
        <f aca="false">C6-B6+2</f>
        <v>12</v>
      </c>
      <c r="E6" s="13" t="n">
        <v>12</v>
      </c>
      <c r="F6" s="13" t="str">
        <f aca="false">IF(D6=E6,"Sí","NO")</f>
        <v>Sí</v>
      </c>
    </row>
    <row r="7" customFormat="false" ht="15" hidden="false" customHeight="false" outlineLevel="0" collapsed="false">
      <c r="A7" s="13" t="s">
        <v>333</v>
      </c>
      <c r="B7" s="13" t="n">
        <v>15</v>
      </c>
      <c r="C7" s="13" t="n">
        <v>19</v>
      </c>
      <c r="D7" s="13" t="n">
        <f aca="false">C7-B7+2</f>
        <v>6</v>
      </c>
      <c r="E7" s="13" t="n">
        <v>6</v>
      </c>
      <c r="F7" s="13" t="str">
        <f aca="false">IF(D7=E7,"Sí","NO")</f>
        <v>Sí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8" min="7" style="0" width="34"/>
    <col collapsed="false" customWidth="true" hidden="false" outlineLevel="0" max="9" min="9" style="0" width="50"/>
    <col collapsed="false" customWidth="true" hidden="false" outlineLevel="0" max="10" min="10" style="0" width="12"/>
  </cols>
  <sheetData>
    <row r="1" customFormat="false" ht="23.85" hidden="false" customHeight="false" outlineLevel="0" collapsed="false">
      <c r="A1" s="12" t="s">
        <v>1588</v>
      </c>
      <c r="B1" s="12" t="s">
        <v>1589</v>
      </c>
      <c r="C1" s="12" t="s">
        <v>425</v>
      </c>
      <c r="D1" s="12" t="s">
        <v>1590</v>
      </c>
      <c r="E1" s="12" t="s">
        <v>1591</v>
      </c>
      <c r="F1" s="12" t="s">
        <v>1592</v>
      </c>
      <c r="G1" s="12" t="s">
        <v>1593</v>
      </c>
      <c r="H1" s="12" t="s">
        <v>30</v>
      </c>
      <c r="I1" s="12" t="s">
        <v>1594</v>
      </c>
      <c r="J1" s="12" t="s">
        <v>1595</v>
      </c>
    </row>
    <row r="2" customFormat="false" ht="35.05" hidden="false" customHeight="false" outlineLevel="0" collapsed="false">
      <c r="A2" s="13" t="s">
        <v>1596</v>
      </c>
      <c r="B2" s="13" t="s">
        <v>1597</v>
      </c>
      <c r="C2" s="13" t="s">
        <v>997</v>
      </c>
      <c r="D2" s="13" t="s">
        <v>1598</v>
      </c>
      <c r="E2" s="13" t="s">
        <v>1599</v>
      </c>
      <c r="F2" s="13" t="s">
        <v>1600</v>
      </c>
      <c r="G2" s="13" t="s">
        <v>1601</v>
      </c>
      <c r="H2" s="13" t="s">
        <v>1602</v>
      </c>
      <c r="I2" s="13" t="s">
        <v>1603</v>
      </c>
      <c r="J2" s="13" t="s">
        <v>1604</v>
      </c>
    </row>
    <row r="3" customFormat="false" ht="35.05" hidden="false" customHeight="false" outlineLevel="0" collapsed="false">
      <c r="A3" s="13" t="s">
        <v>1605</v>
      </c>
      <c r="B3" s="13" t="s">
        <v>1606</v>
      </c>
      <c r="C3" s="13" t="s">
        <v>1607</v>
      </c>
      <c r="D3" s="13" t="s">
        <v>1608</v>
      </c>
      <c r="E3" s="13" t="s">
        <v>809</v>
      </c>
      <c r="F3" s="13" t="s">
        <v>487</v>
      </c>
      <c r="G3" s="13" t="s">
        <v>1609</v>
      </c>
      <c r="H3" s="13" t="s">
        <v>1610</v>
      </c>
      <c r="I3" s="13" t="s">
        <v>1611</v>
      </c>
      <c r="J3" s="13" t="s">
        <v>1604</v>
      </c>
    </row>
    <row r="4" customFormat="false" ht="23.85" hidden="false" customHeight="false" outlineLevel="0" collapsed="false">
      <c r="A4" s="13" t="s">
        <v>1612</v>
      </c>
      <c r="B4" s="13" t="s">
        <v>1613</v>
      </c>
      <c r="C4" s="13" t="s">
        <v>1236</v>
      </c>
      <c r="D4" s="13" t="s">
        <v>1614</v>
      </c>
      <c r="E4" s="13" t="s">
        <v>1362</v>
      </c>
      <c r="F4" s="13" t="s">
        <v>1615</v>
      </c>
      <c r="G4" s="13" t="s">
        <v>1616</v>
      </c>
      <c r="H4" s="13" t="s">
        <v>1610</v>
      </c>
      <c r="I4" s="13" t="s">
        <v>1617</v>
      </c>
      <c r="J4" s="13" t="s">
        <v>1604</v>
      </c>
    </row>
    <row r="5" customFormat="false" ht="23.85" hidden="false" customHeight="false" outlineLevel="0" collapsed="false">
      <c r="A5" s="13" t="s">
        <v>1618</v>
      </c>
      <c r="B5" s="13" t="s">
        <v>1606</v>
      </c>
      <c r="C5" s="13" t="s">
        <v>1236</v>
      </c>
      <c r="D5" s="13" t="s">
        <v>1619</v>
      </c>
      <c r="E5" s="13" t="s">
        <v>1411</v>
      </c>
      <c r="F5" s="13" t="s">
        <v>487</v>
      </c>
      <c r="G5" s="13" t="s">
        <v>1620</v>
      </c>
      <c r="H5" s="13" t="s">
        <v>1621</v>
      </c>
      <c r="I5" s="13" t="s">
        <v>1622</v>
      </c>
      <c r="J5" s="13" t="s">
        <v>1604</v>
      </c>
    </row>
    <row r="6" customFormat="false" ht="46.25" hidden="false" customHeight="false" outlineLevel="0" collapsed="false">
      <c r="A6" s="13" t="s">
        <v>1623</v>
      </c>
      <c r="B6" s="13" t="s">
        <v>1624</v>
      </c>
      <c r="C6" s="13" t="s">
        <v>1236</v>
      </c>
      <c r="D6" s="13" t="s">
        <v>1625</v>
      </c>
      <c r="E6" s="13" t="s">
        <v>1626</v>
      </c>
      <c r="F6" s="13" t="s">
        <v>1627</v>
      </c>
      <c r="G6" s="13" t="s">
        <v>1628</v>
      </c>
      <c r="H6" s="13" t="s">
        <v>1629</v>
      </c>
      <c r="I6" s="13" t="s">
        <v>1630</v>
      </c>
      <c r="J6" s="13" t="s">
        <v>1604</v>
      </c>
    </row>
  </sheetData>
  <autoFilter ref="A1:J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5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57.45" hidden="false" customHeight="false" outlineLevel="0" collapsed="false">
      <c r="A1" s="12" t="s">
        <v>1631</v>
      </c>
      <c r="B1" s="12" t="s">
        <v>23</v>
      </c>
      <c r="C1" s="12" t="s">
        <v>24</v>
      </c>
      <c r="D1" s="12" t="s">
        <v>1632</v>
      </c>
      <c r="E1" s="12" t="s">
        <v>1633</v>
      </c>
      <c r="F1" s="12" t="s">
        <v>1634</v>
      </c>
      <c r="G1" s="12" t="s">
        <v>1635</v>
      </c>
    </row>
    <row r="2" customFormat="false" ht="23.85" hidden="false" customHeight="false" outlineLevel="0" collapsed="false">
      <c r="A2" s="13" t="s">
        <v>1636</v>
      </c>
      <c r="B2" s="13" t="s">
        <v>36</v>
      </c>
      <c r="C2" s="13" t="s">
        <v>37</v>
      </c>
      <c r="D2" s="13" t="s">
        <v>1637</v>
      </c>
      <c r="E2" s="13" t="s">
        <v>1638</v>
      </c>
      <c r="F2" s="13" t="s">
        <v>1639</v>
      </c>
      <c r="G2" s="13" t="s">
        <v>1640</v>
      </c>
    </row>
    <row r="3" customFormat="false" ht="23.85" hidden="false" customHeight="false" outlineLevel="0" collapsed="false">
      <c r="A3" s="13" t="s">
        <v>1641</v>
      </c>
      <c r="B3" s="13" t="s">
        <v>36</v>
      </c>
      <c r="C3" s="13" t="s">
        <v>37</v>
      </c>
      <c r="D3" s="13" t="s">
        <v>1642</v>
      </c>
      <c r="E3" s="13" t="s">
        <v>1643</v>
      </c>
      <c r="F3" s="13" t="s">
        <v>1639</v>
      </c>
      <c r="G3" s="13" t="s">
        <v>1640</v>
      </c>
    </row>
    <row r="4" customFormat="false" ht="23.85" hidden="false" customHeight="false" outlineLevel="0" collapsed="false">
      <c r="A4" s="13" t="s">
        <v>1644</v>
      </c>
      <c r="B4" s="13" t="s">
        <v>36</v>
      </c>
      <c r="C4" s="13" t="s">
        <v>37</v>
      </c>
      <c r="D4" s="13" t="s">
        <v>1645</v>
      </c>
      <c r="E4" s="13" t="s">
        <v>1638</v>
      </c>
      <c r="F4" s="13" t="s">
        <v>1639</v>
      </c>
      <c r="G4" s="13" t="s">
        <v>1640</v>
      </c>
    </row>
    <row r="5" customFormat="false" ht="23.85" hidden="false" customHeight="false" outlineLevel="0" collapsed="false">
      <c r="A5" s="13" t="s">
        <v>1646</v>
      </c>
      <c r="B5" s="13" t="s">
        <v>88</v>
      </c>
      <c r="C5" s="13" t="s">
        <v>89</v>
      </c>
      <c r="D5" s="13" t="s">
        <v>1647</v>
      </c>
      <c r="E5" s="13" t="s">
        <v>1638</v>
      </c>
      <c r="F5" s="13" t="s">
        <v>1639</v>
      </c>
      <c r="G5" s="13" t="s">
        <v>1640</v>
      </c>
    </row>
    <row r="6" customFormat="false" ht="23.85" hidden="false" customHeight="false" outlineLevel="0" collapsed="false">
      <c r="A6" s="13" t="s">
        <v>1648</v>
      </c>
      <c r="B6" s="13" t="s">
        <v>88</v>
      </c>
      <c r="C6" s="13" t="s">
        <v>89</v>
      </c>
      <c r="D6" s="13" t="s">
        <v>1649</v>
      </c>
      <c r="E6" s="13" t="s">
        <v>1638</v>
      </c>
      <c r="F6" s="13" t="s">
        <v>1639</v>
      </c>
      <c r="G6" s="13" t="s">
        <v>1640</v>
      </c>
    </row>
    <row r="7" customFormat="false" ht="23.85" hidden="false" customHeight="false" outlineLevel="0" collapsed="false">
      <c r="A7" s="13" t="s">
        <v>1650</v>
      </c>
      <c r="B7" s="13" t="s">
        <v>88</v>
      </c>
      <c r="C7" s="13" t="s">
        <v>89</v>
      </c>
      <c r="D7" s="13" t="s">
        <v>1651</v>
      </c>
      <c r="E7" s="13" t="s">
        <v>1638</v>
      </c>
      <c r="F7" s="13" t="s">
        <v>1639</v>
      </c>
      <c r="G7" s="13" t="s">
        <v>1640</v>
      </c>
    </row>
    <row r="8" customFormat="false" ht="23.85" hidden="false" customHeight="false" outlineLevel="0" collapsed="false">
      <c r="A8" s="13" t="s">
        <v>1652</v>
      </c>
      <c r="B8" s="13" t="s">
        <v>88</v>
      </c>
      <c r="C8" s="13" t="s">
        <v>89</v>
      </c>
      <c r="D8" s="13" t="s">
        <v>1653</v>
      </c>
      <c r="E8" s="13" t="s">
        <v>1638</v>
      </c>
      <c r="F8" s="13" t="s">
        <v>1639</v>
      </c>
      <c r="G8" s="13" t="s">
        <v>1640</v>
      </c>
    </row>
    <row r="9" customFormat="false" ht="23.85" hidden="false" customHeight="false" outlineLevel="0" collapsed="false">
      <c r="A9" s="13" t="s">
        <v>1654</v>
      </c>
      <c r="B9" s="13" t="s">
        <v>1655</v>
      </c>
      <c r="C9" s="13" t="s">
        <v>131</v>
      </c>
      <c r="D9" s="13" t="s">
        <v>1656</v>
      </c>
      <c r="E9" s="13" t="s">
        <v>1638</v>
      </c>
      <c r="F9" s="13" t="s">
        <v>1639</v>
      </c>
      <c r="G9" s="13" t="s">
        <v>1640</v>
      </c>
    </row>
    <row r="10" customFormat="false" ht="23.85" hidden="false" customHeight="false" outlineLevel="0" collapsed="false">
      <c r="A10" s="13" t="s">
        <v>1657</v>
      </c>
      <c r="B10" s="13" t="s">
        <v>1655</v>
      </c>
      <c r="C10" s="13" t="s">
        <v>131</v>
      </c>
      <c r="D10" s="13" t="s">
        <v>1658</v>
      </c>
      <c r="E10" s="13" t="s">
        <v>1638</v>
      </c>
      <c r="F10" s="13" t="s">
        <v>1639</v>
      </c>
      <c r="G10" s="13" t="s">
        <v>1640</v>
      </c>
    </row>
    <row r="11" customFormat="false" ht="23.85" hidden="false" customHeight="false" outlineLevel="0" collapsed="false">
      <c r="A11" s="13" t="s">
        <v>1659</v>
      </c>
      <c r="B11" s="13" t="s">
        <v>1655</v>
      </c>
      <c r="C11" s="13" t="s">
        <v>131</v>
      </c>
      <c r="D11" s="13" t="s">
        <v>1660</v>
      </c>
      <c r="E11" s="13" t="s">
        <v>1638</v>
      </c>
      <c r="F11" s="13" t="s">
        <v>1639</v>
      </c>
      <c r="G11" s="13" t="s">
        <v>1640</v>
      </c>
    </row>
    <row r="12" customFormat="false" ht="23.85" hidden="false" customHeight="false" outlineLevel="0" collapsed="false">
      <c r="A12" s="13" t="s">
        <v>1661</v>
      </c>
      <c r="B12" s="13" t="s">
        <v>1655</v>
      </c>
      <c r="C12" s="13" t="s">
        <v>131</v>
      </c>
      <c r="D12" s="13" t="s">
        <v>1662</v>
      </c>
      <c r="E12" s="13" t="s">
        <v>1638</v>
      </c>
      <c r="F12" s="13" t="s">
        <v>1639</v>
      </c>
      <c r="G12" s="13" t="s">
        <v>1640</v>
      </c>
    </row>
    <row r="13" customFormat="false" ht="23.85" hidden="false" customHeight="false" outlineLevel="0" collapsed="false">
      <c r="A13" s="13" t="s">
        <v>1663</v>
      </c>
      <c r="B13" s="13" t="s">
        <v>1664</v>
      </c>
      <c r="C13" s="13" t="s">
        <v>131</v>
      </c>
      <c r="D13" s="13" t="s">
        <v>1665</v>
      </c>
      <c r="E13" s="13" t="s">
        <v>1638</v>
      </c>
      <c r="F13" s="13" t="s">
        <v>1639</v>
      </c>
      <c r="G13" s="13" t="s">
        <v>1640</v>
      </c>
    </row>
    <row r="14" customFormat="false" ht="23.85" hidden="false" customHeight="false" outlineLevel="0" collapsed="false">
      <c r="A14" s="13" t="s">
        <v>1666</v>
      </c>
      <c r="B14" s="13" t="s">
        <v>196</v>
      </c>
      <c r="C14" s="13" t="s">
        <v>131</v>
      </c>
      <c r="D14" s="13" t="s">
        <v>1667</v>
      </c>
      <c r="E14" s="13" t="s">
        <v>1638</v>
      </c>
      <c r="F14" s="13" t="s">
        <v>1639</v>
      </c>
      <c r="G14" s="13" t="s">
        <v>1640</v>
      </c>
    </row>
    <row r="15" customFormat="false" ht="23.85" hidden="false" customHeight="false" outlineLevel="0" collapsed="false">
      <c r="A15" s="13" t="s">
        <v>1668</v>
      </c>
      <c r="B15" s="13" t="s">
        <v>196</v>
      </c>
      <c r="C15" s="13" t="s">
        <v>131</v>
      </c>
      <c r="D15" s="13" t="s">
        <v>1669</v>
      </c>
      <c r="E15" s="13" t="s">
        <v>1638</v>
      </c>
      <c r="F15" s="13" t="s">
        <v>1639</v>
      </c>
      <c r="G15" s="13" t="s">
        <v>1640</v>
      </c>
    </row>
    <row r="16" customFormat="false" ht="15" hidden="false" customHeight="false" outlineLevel="0" collapsed="false">
      <c r="A16" s="13" t="s">
        <v>1670</v>
      </c>
      <c r="B16" s="13" t="s">
        <v>196</v>
      </c>
      <c r="C16" s="13" t="s">
        <v>131</v>
      </c>
      <c r="D16" s="13" t="s">
        <v>1671</v>
      </c>
      <c r="E16" s="13" t="s">
        <v>1672</v>
      </c>
      <c r="F16" s="13" t="s">
        <v>1673</v>
      </c>
      <c r="G16" s="13" t="s">
        <v>1674</v>
      </c>
    </row>
    <row r="17" customFormat="false" ht="23.85" hidden="false" customHeight="false" outlineLevel="0" collapsed="false">
      <c r="A17" s="13" t="s">
        <v>1675</v>
      </c>
      <c r="B17" s="13" t="s">
        <v>196</v>
      </c>
      <c r="C17" s="13" t="s">
        <v>131</v>
      </c>
      <c r="D17" s="13" t="s">
        <v>1676</v>
      </c>
      <c r="E17" s="13" t="s">
        <v>1638</v>
      </c>
      <c r="F17" s="13" t="s">
        <v>1639</v>
      </c>
      <c r="G17" s="13" t="s">
        <v>1640</v>
      </c>
    </row>
    <row r="18" customFormat="false" ht="23.85" hidden="false" customHeight="false" outlineLevel="0" collapsed="false">
      <c r="A18" s="13" t="s">
        <v>1677</v>
      </c>
      <c r="B18" s="13" t="s">
        <v>244</v>
      </c>
      <c r="C18" s="13" t="s">
        <v>245</v>
      </c>
      <c r="D18" s="13" t="s">
        <v>1678</v>
      </c>
      <c r="E18" s="13" t="s">
        <v>1638</v>
      </c>
      <c r="F18" s="13" t="s">
        <v>1639</v>
      </c>
      <c r="G18" s="13" t="s">
        <v>1640</v>
      </c>
    </row>
    <row r="19" customFormat="false" ht="23.85" hidden="false" customHeight="false" outlineLevel="0" collapsed="false">
      <c r="A19" s="13" t="s">
        <v>1679</v>
      </c>
      <c r="B19" s="13" t="s">
        <v>244</v>
      </c>
      <c r="C19" s="13" t="s">
        <v>245</v>
      </c>
      <c r="D19" s="13" t="s">
        <v>1680</v>
      </c>
      <c r="E19" s="13" t="s">
        <v>1638</v>
      </c>
      <c r="F19" s="13" t="s">
        <v>1639</v>
      </c>
      <c r="G19" s="13" t="s">
        <v>1640</v>
      </c>
    </row>
    <row r="20" customFormat="false" ht="23.85" hidden="false" customHeight="false" outlineLevel="0" collapsed="false">
      <c r="A20" s="13" t="s">
        <v>1681</v>
      </c>
      <c r="B20" s="13" t="s">
        <v>244</v>
      </c>
      <c r="C20" s="13" t="s">
        <v>245</v>
      </c>
      <c r="D20" s="13" t="s">
        <v>1682</v>
      </c>
      <c r="E20" s="13" t="s">
        <v>1638</v>
      </c>
      <c r="F20" s="13" t="s">
        <v>1639</v>
      </c>
      <c r="G20" s="13" t="s">
        <v>1640</v>
      </c>
    </row>
    <row r="21" customFormat="false" ht="23.85" hidden="false" customHeight="false" outlineLevel="0" collapsed="false">
      <c r="A21" s="13" t="s">
        <v>1683</v>
      </c>
      <c r="B21" s="13" t="s">
        <v>244</v>
      </c>
      <c r="C21" s="13" t="s">
        <v>245</v>
      </c>
      <c r="D21" s="13" t="s">
        <v>1684</v>
      </c>
      <c r="E21" s="13" t="s">
        <v>1638</v>
      </c>
      <c r="F21" s="13" t="s">
        <v>1639</v>
      </c>
      <c r="G21" s="13" t="s">
        <v>1640</v>
      </c>
    </row>
    <row r="22" customFormat="false" ht="23.85" hidden="false" customHeight="false" outlineLevel="0" collapsed="false">
      <c r="A22" s="13" t="s">
        <v>1685</v>
      </c>
      <c r="B22" s="13" t="s">
        <v>244</v>
      </c>
      <c r="C22" s="13" t="s">
        <v>245</v>
      </c>
      <c r="D22" s="13" t="s">
        <v>1686</v>
      </c>
      <c r="E22" s="13" t="s">
        <v>1638</v>
      </c>
      <c r="F22" s="13" t="s">
        <v>1639</v>
      </c>
      <c r="G22" s="13" t="s">
        <v>1640</v>
      </c>
    </row>
    <row r="23" customFormat="false" ht="23.85" hidden="false" customHeight="false" outlineLevel="0" collapsed="false">
      <c r="A23" s="13" t="s">
        <v>1687</v>
      </c>
      <c r="B23" s="13" t="s">
        <v>1688</v>
      </c>
      <c r="C23" s="13" t="s">
        <v>334</v>
      </c>
      <c r="D23" s="13" t="s">
        <v>1689</v>
      </c>
      <c r="E23" s="13" t="s">
        <v>1638</v>
      </c>
      <c r="F23" s="13" t="s">
        <v>1639</v>
      </c>
      <c r="G23" s="13" t="s">
        <v>1640</v>
      </c>
    </row>
    <row r="24" customFormat="false" ht="23.85" hidden="false" customHeight="false" outlineLevel="0" collapsed="false">
      <c r="A24" s="13" t="s">
        <v>1690</v>
      </c>
      <c r="B24" s="13" t="s">
        <v>1688</v>
      </c>
      <c r="C24" s="13" t="s">
        <v>334</v>
      </c>
      <c r="D24" s="13" t="s">
        <v>1691</v>
      </c>
      <c r="E24" s="13" t="s">
        <v>1638</v>
      </c>
      <c r="F24" s="13" t="s">
        <v>1639</v>
      </c>
      <c r="G24" s="13" t="s">
        <v>1640</v>
      </c>
    </row>
    <row r="25" customFormat="false" ht="23.85" hidden="false" customHeight="false" outlineLevel="0" collapsed="false">
      <c r="A25" s="13" t="s">
        <v>1692</v>
      </c>
      <c r="B25" s="13" t="s">
        <v>1688</v>
      </c>
      <c r="C25" s="13" t="s">
        <v>334</v>
      </c>
      <c r="D25" s="13" t="s">
        <v>1693</v>
      </c>
      <c r="E25" s="13" t="s">
        <v>1638</v>
      </c>
      <c r="F25" s="13" t="s">
        <v>1639</v>
      </c>
      <c r="G25" s="13" t="s">
        <v>1640</v>
      </c>
    </row>
    <row r="26" customFormat="false" ht="23.85" hidden="false" customHeight="false" outlineLevel="0" collapsed="false">
      <c r="A26" s="13" t="s">
        <v>1694</v>
      </c>
      <c r="B26" s="13" t="s">
        <v>1688</v>
      </c>
      <c r="C26" s="13" t="s">
        <v>334</v>
      </c>
      <c r="D26" s="13" t="s">
        <v>1695</v>
      </c>
      <c r="E26" s="13" t="s">
        <v>1638</v>
      </c>
      <c r="F26" s="13" t="s">
        <v>1639</v>
      </c>
      <c r="G26" s="13" t="s">
        <v>1640</v>
      </c>
    </row>
    <row r="27" customFormat="false" ht="23.85" hidden="false" customHeight="false" outlineLevel="0" collapsed="false">
      <c r="A27" s="13" t="s">
        <v>1696</v>
      </c>
      <c r="B27" s="13" t="s">
        <v>1697</v>
      </c>
      <c r="C27" s="13" t="s">
        <v>334</v>
      </c>
      <c r="D27" s="13" t="s">
        <v>1698</v>
      </c>
      <c r="E27" s="13" t="s">
        <v>1638</v>
      </c>
      <c r="F27" s="13" t="s">
        <v>1639</v>
      </c>
      <c r="G27" s="13" t="s">
        <v>1640</v>
      </c>
    </row>
    <row r="28" customFormat="false" ht="23.85" hidden="false" customHeight="false" outlineLevel="0" collapsed="false">
      <c r="A28" s="13" t="s">
        <v>1699</v>
      </c>
      <c r="B28" s="13" t="s">
        <v>1697</v>
      </c>
      <c r="C28" s="13" t="s">
        <v>334</v>
      </c>
      <c r="D28" s="13" t="s">
        <v>1700</v>
      </c>
      <c r="E28" s="13" t="s">
        <v>1638</v>
      </c>
      <c r="F28" s="13" t="s">
        <v>1639</v>
      </c>
      <c r="G28" s="13" t="s">
        <v>1640</v>
      </c>
    </row>
    <row r="29" customFormat="false" ht="23.85" hidden="false" customHeight="false" outlineLevel="0" collapsed="false">
      <c r="A29" s="13" t="s">
        <v>1701</v>
      </c>
      <c r="B29" s="13" t="s">
        <v>1697</v>
      </c>
      <c r="C29" s="13" t="s">
        <v>334</v>
      </c>
      <c r="D29" s="13" t="s">
        <v>1702</v>
      </c>
      <c r="E29" s="13" t="s">
        <v>1638</v>
      </c>
      <c r="F29" s="13" t="s">
        <v>1639</v>
      </c>
      <c r="G29" s="13" t="s">
        <v>1640</v>
      </c>
    </row>
    <row r="31" customFormat="false" ht="15" hidden="false" customHeight="false" outlineLevel="0" collapsed="false">
      <c r="A31" s="20" t="s">
        <v>1703</v>
      </c>
      <c r="B31" s="8" t="n">
        <f aca="false">COUNTA(A2:A29)</f>
        <v>28</v>
      </c>
    </row>
    <row r="32" customFormat="false" ht="15" hidden="false" customHeight="false" outlineLevel="0" collapsed="false">
      <c r="A32" s="20" t="s">
        <v>1704</v>
      </c>
      <c r="B32" s="8" t="n">
        <f aca="false">COUNTIF(F2:F29,"MUERTO")</f>
        <v>27</v>
      </c>
    </row>
    <row r="33" customFormat="false" ht="15" hidden="false" customHeight="false" outlineLevel="0" collapsed="false">
      <c r="A33" s="20" t="s">
        <v>1705</v>
      </c>
      <c r="B33" s="8" t="n">
        <f aca="false">B31-B32</f>
        <v>1</v>
      </c>
    </row>
    <row r="34" customFormat="false" ht="15" hidden="false" customHeight="false" outlineLevel="0" collapsed="false">
      <c r="A34" s="20" t="s">
        <v>17</v>
      </c>
      <c r="B34" s="21" t="n">
        <f aca="false">B32/B31</f>
        <v>0.964285714285714</v>
      </c>
    </row>
    <row r="35" customFormat="false" ht="15" hidden="false" customHeight="false" outlineLevel="0" collapsed="false">
      <c r="A35" s="20"/>
      <c r="B35" s="8"/>
    </row>
    <row r="36" customFormat="false" ht="15" hidden="false" customHeight="false" outlineLevel="0" collapsed="false">
      <c r="A36" s="20" t="s">
        <v>1706</v>
      </c>
      <c r="B36" s="8"/>
    </row>
  </sheetData>
  <autoFilter ref="A1:G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70"/>
    <col collapsed="false" customWidth="true" hidden="false" outlineLevel="0" max="4" min="4" style="0" width="10"/>
  </cols>
  <sheetData>
    <row r="1" customFormat="false" ht="23.85" hidden="false" customHeight="false" outlineLevel="0" collapsed="false">
      <c r="A1" s="12" t="s">
        <v>425</v>
      </c>
      <c r="B1" s="12" t="s">
        <v>1707</v>
      </c>
      <c r="C1" s="12" t="s">
        <v>1708</v>
      </c>
      <c r="D1" s="12" t="s">
        <v>1709</v>
      </c>
    </row>
    <row r="2" customFormat="false" ht="15" hidden="false" customHeight="false" outlineLevel="0" collapsed="false">
      <c r="A2" s="13" t="s">
        <v>868</v>
      </c>
      <c r="B2" s="13" t="s">
        <v>879</v>
      </c>
      <c r="C2" s="13" t="s">
        <v>878</v>
      </c>
      <c r="D2" s="13" t="n">
        <f aca="false">LEN(C2)-LEN(SUBSTITUTE(C2,",",""))+1</f>
        <v>1</v>
      </c>
    </row>
    <row r="3" customFormat="false" ht="15" hidden="false" customHeight="false" outlineLevel="0" collapsed="false">
      <c r="A3" s="13" t="s">
        <v>868</v>
      </c>
      <c r="B3" s="13" t="s">
        <v>889</v>
      </c>
      <c r="C3" s="13" t="s">
        <v>888</v>
      </c>
      <c r="D3" s="13" t="n">
        <f aca="false">LEN(C3)-LEN(SUBSTITUTE(C3,",",""))+1</f>
        <v>1</v>
      </c>
    </row>
    <row r="4" customFormat="false" ht="15" hidden="false" customHeight="false" outlineLevel="0" collapsed="false">
      <c r="A4" s="13" t="s">
        <v>868</v>
      </c>
      <c r="B4" s="13" t="s">
        <v>1480</v>
      </c>
      <c r="C4" s="13" t="s">
        <v>1479</v>
      </c>
      <c r="D4" s="13" t="n">
        <f aca="false">LEN(C4)-LEN(SUBSTITUTE(C4,",",""))+1</f>
        <v>1</v>
      </c>
    </row>
    <row r="5" customFormat="false" ht="15" hidden="false" customHeight="false" outlineLevel="0" collapsed="false">
      <c r="A5" s="13" t="s">
        <v>868</v>
      </c>
      <c r="B5" s="13" t="s">
        <v>869</v>
      </c>
      <c r="C5" s="13" t="s">
        <v>867</v>
      </c>
      <c r="D5" s="13" t="n">
        <f aca="false">LEN(C5)-LEN(SUBSTITUTE(C5,",",""))+1</f>
        <v>1</v>
      </c>
    </row>
    <row r="6" customFormat="false" ht="15" hidden="false" customHeight="false" outlineLevel="0" collapsed="false">
      <c r="A6" s="13" t="s">
        <v>868</v>
      </c>
      <c r="B6" s="13" t="s">
        <v>884</v>
      </c>
      <c r="C6" s="13" t="s">
        <v>883</v>
      </c>
      <c r="D6" s="13" t="n">
        <f aca="false">LEN(C6)-LEN(SUBSTITUTE(C6,",",""))+1</f>
        <v>1</v>
      </c>
    </row>
    <row r="7" customFormat="false" ht="15" hidden="false" customHeight="false" outlineLevel="0" collapsed="false">
      <c r="A7" s="13" t="s">
        <v>868</v>
      </c>
      <c r="B7" s="13" t="s">
        <v>874</v>
      </c>
      <c r="C7" s="13" t="s">
        <v>873</v>
      </c>
      <c r="D7" s="13" t="n">
        <f aca="false">LEN(C7)-LEN(SUBSTITUTE(C7,",",""))+1</f>
        <v>1</v>
      </c>
    </row>
    <row r="8" customFormat="false" ht="15" hidden="false" customHeight="false" outlineLevel="0" collapsed="false">
      <c r="A8" s="13" t="s">
        <v>1129</v>
      </c>
      <c r="B8" s="13" t="s">
        <v>1164</v>
      </c>
      <c r="C8" s="13" t="s">
        <v>1163</v>
      </c>
      <c r="D8" s="13" t="n">
        <f aca="false">LEN(C8)-LEN(SUBSTITUTE(C8,",",""))+1</f>
        <v>1</v>
      </c>
    </row>
    <row r="9" customFormat="false" ht="15" hidden="false" customHeight="false" outlineLevel="0" collapsed="false">
      <c r="A9" s="13" t="s">
        <v>1129</v>
      </c>
      <c r="B9" s="13" t="s">
        <v>1169</v>
      </c>
      <c r="C9" s="13" t="s">
        <v>1168</v>
      </c>
      <c r="D9" s="13" t="n">
        <f aca="false">LEN(C9)-LEN(SUBSTITUTE(C9,",",""))+1</f>
        <v>1</v>
      </c>
    </row>
    <row r="10" customFormat="false" ht="15" hidden="false" customHeight="false" outlineLevel="0" collapsed="false">
      <c r="A10" s="13" t="s">
        <v>1129</v>
      </c>
      <c r="B10" s="13" t="s">
        <v>1189</v>
      </c>
      <c r="C10" s="13" t="s">
        <v>1188</v>
      </c>
      <c r="D10" s="13" t="n">
        <f aca="false">LEN(C10)-LEN(SUBSTITUTE(C10,",",""))+1</f>
        <v>1</v>
      </c>
    </row>
    <row r="11" customFormat="false" ht="15" hidden="false" customHeight="false" outlineLevel="0" collapsed="false">
      <c r="A11" s="13" t="s">
        <v>1129</v>
      </c>
      <c r="B11" s="13" t="s">
        <v>1179</v>
      </c>
      <c r="C11" s="13" t="s">
        <v>1178</v>
      </c>
      <c r="D11" s="13" t="n">
        <f aca="false">LEN(C11)-LEN(SUBSTITUTE(C11,",",""))+1</f>
        <v>1</v>
      </c>
    </row>
    <row r="12" customFormat="false" ht="15" hidden="false" customHeight="false" outlineLevel="0" collapsed="false">
      <c r="A12" s="13" t="s">
        <v>1129</v>
      </c>
      <c r="B12" s="13" t="s">
        <v>1159</v>
      </c>
      <c r="C12" s="13" t="s">
        <v>1158</v>
      </c>
      <c r="D12" s="13" t="n">
        <f aca="false">LEN(C12)-LEN(SUBSTITUTE(C12,",",""))+1</f>
        <v>1</v>
      </c>
    </row>
    <row r="13" customFormat="false" ht="15" hidden="false" customHeight="false" outlineLevel="0" collapsed="false">
      <c r="A13" s="13" t="s">
        <v>1129</v>
      </c>
      <c r="B13" s="13" t="s">
        <v>1174</v>
      </c>
      <c r="C13" s="13" t="s">
        <v>1173</v>
      </c>
      <c r="D13" s="13" t="n">
        <f aca="false">LEN(C13)-LEN(SUBSTITUTE(C13,",",""))+1</f>
        <v>1</v>
      </c>
    </row>
    <row r="14" customFormat="false" ht="15" hidden="false" customHeight="false" outlineLevel="0" collapsed="false">
      <c r="A14" s="13" t="s">
        <v>1129</v>
      </c>
      <c r="B14" s="13" t="s">
        <v>1184</v>
      </c>
      <c r="C14" s="13" t="s">
        <v>1183</v>
      </c>
      <c r="D14" s="13" t="n">
        <f aca="false">LEN(C14)-LEN(SUBSTITUTE(C14,",",""))+1</f>
        <v>1</v>
      </c>
    </row>
    <row r="15" customFormat="false" ht="15" hidden="false" customHeight="false" outlineLevel="0" collapsed="false">
      <c r="A15" s="13" t="s">
        <v>1129</v>
      </c>
      <c r="B15" s="13" t="s">
        <v>1135</v>
      </c>
      <c r="C15" s="13" t="s">
        <v>1710</v>
      </c>
      <c r="D15" s="13" t="n">
        <f aca="false">LEN(C15)-LEN(SUBSTITUTE(C15,",",""))+1</f>
        <v>2</v>
      </c>
    </row>
    <row r="16" customFormat="false" ht="15" hidden="false" customHeight="false" outlineLevel="0" collapsed="false">
      <c r="A16" s="13" t="s">
        <v>1129</v>
      </c>
      <c r="B16" s="13" t="s">
        <v>1147</v>
      </c>
      <c r="C16" s="13" t="s">
        <v>1146</v>
      </c>
      <c r="D16" s="13" t="n">
        <f aca="false">LEN(C16)-LEN(SUBSTITUTE(C16,",",""))+1</f>
        <v>1</v>
      </c>
    </row>
    <row r="17" customFormat="false" ht="15" hidden="false" customHeight="false" outlineLevel="0" collapsed="false">
      <c r="A17" s="13" t="s">
        <v>1129</v>
      </c>
      <c r="B17" s="13" t="s">
        <v>1231</v>
      </c>
      <c r="C17" s="13" t="s">
        <v>1230</v>
      </c>
      <c r="D17" s="13" t="n">
        <f aca="false">LEN(C17)-LEN(SUBSTITUTE(C17,",",""))+1</f>
        <v>1</v>
      </c>
    </row>
    <row r="18" customFormat="false" ht="15" hidden="false" customHeight="false" outlineLevel="0" collapsed="false">
      <c r="A18" s="13" t="s">
        <v>1129</v>
      </c>
      <c r="B18" s="13" t="s">
        <v>1226</v>
      </c>
      <c r="C18" s="13" t="s">
        <v>1225</v>
      </c>
      <c r="D18" s="13" t="n">
        <f aca="false">LEN(C18)-LEN(SUBSTITUTE(C18,",",""))+1</f>
        <v>1</v>
      </c>
    </row>
    <row r="19" customFormat="false" ht="15" hidden="false" customHeight="false" outlineLevel="0" collapsed="false">
      <c r="A19" s="13" t="s">
        <v>1129</v>
      </c>
      <c r="B19" s="13" t="s">
        <v>1142</v>
      </c>
      <c r="C19" s="13" t="s">
        <v>1141</v>
      </c>
      <c r="D19" s="13" t="n">
        <f aca="false">LEN(C19)-LEN(SUBSTITUTE(C19,",",""))+1</f>
        <v>1</v>
      </c>
    </row>
    <row r="20" customFormat="false" ht="15" hidden="false" customHeight="false" outlineLevel="0" collapsed="false">
      <c r="A20" s="13" t="s">
        <v>1129</v>
      </c>
      <c r="B20" s="13" t="s">
        <v>1130</v>
      </c>
      <c r="C20" s="13" t="s">
        <v>1128</v>
      </c>
      <c r="D20" s="13" t="n">
        <f aca="false">LEN(C20)-LEN(SUBSTITUTE(C20,",",""))+1</f>
        <v>1</v>
      </c>
    </row>
    <row r="21" customFormat="false" ht="15" hidden="false" customHeight="false" outlineLevel="0" collapsed="false">
      <c r="A21" s="13" t="s">
        <v>1129</v>
      </c>
      <c r="B21" s="13" t="s">
        <v>929</v>
      </c>
      <c r="C21" s="13" t="s">
        <v>1155</v>
      </c>
      <c r="D21" s="13" t="n">
        <f aca="false">LEN(C21)-LEN(SUBSTITUTE(C21,",",""))+1</f>
        <v>1</v>
      </c>
    </row>
    <row r="22" customFormat="false" ht="15" hidden="false" customHeight="false" outlineLevel="0" collapsed="false">
      <c r="A22" s="13" t="s">
        <v>1129</v>
      </c>
      <c r="B22" s="13" t="s">
        <v>1194</v>
      </c>
      <c r="C22" s="13" t="s">
        <v>1193</v>
      </c>
      <c r="D22" s="13" t="n">
        <f aca="false">LEN(C22)-LEN(SUBSTITUTE(C22,",",""))+1</f>
        <v>1</v>
      </c>
    </row>
    <row r="23" customFormat="false" ht="15" hidden="false" customHeight="false" outlineLevel="0" collapsed="false">
      <c r="A23" s="13" t="s">
        <v>1129</v>
      </c>
      <c r="B23" s="13" t="s">
        <v>1208</v>
      </c>
      <c r="C23" s="13" t="s">
        <v>1711</v>
      </c>
      <c r="D23" s="13" t="n">
        <f aca="false">LEN(C23)-LEN(SUBSTITUTE(C23,",",""))+1</f>
        <v>2</v>
      </c>
    </row>
    <row r="24" customFormat="false" ht="15" hidden="false" customHeight="false" outlineLevel="0" collapsed="false">
      <c r="A24" s="13" t="s">
        <v>1129</v>
      </c>
      <c r="B24" s="13" t="s">
        <v>1217</v>
      </c>
      <c r="C24" s="13" t="s">
        <v>1216</v>
      </c>
      <c r="D24" s="13" t="n">
        <f aca="false">LEN(C24)-LEN(SUBSTITUTE(C24,",",""))+1</f>
        <v>1</v>
      </c>
    </row>
    <row r="25" customFormat="false" ht="15" hidden="false" customHeight="false" outlineLevel="0" collapsed="false">
      <c r="A25" s="13" t="s">
        <v>1129</v>
      </c>
      <c r="B25" s="13" t="s">
        <v>1199</v>
      </c>
      <c r="C25" s="13" t="s">
        <v>1712</v>
      </c>
      <c r="D25" s="13" t="n">
        <f aca="false">LEN(C25)-LEN(SUBSTITUTE(C25,",",""))+1</f>
        <v>2</v>
      </c>
    </row>
    <row r="26" customFormat="false" ht="15" hidden="false" customHeight="false" outlineLevel="0" collapsed="false">
      <c r="A26" s="13" t="s">
        <v>1129</v>
      </c>
      <c r="B26" s="13" t="s">
        <v>1222</v>
      </c>
      <c r="C26" s="13" t="s">
        <v>1221</v>
      </c>
      <c r="D26" s="13" t="n">
        <f aca="false">LEN(C26)-LEN(SUBSTITUTE(C26,",",""))+1</f>
        <v>1</v>
      </c>
    </row>
    <row r="27" customFormat="false" ht="15" hidden="false" customHeight="false" outlineLevel="0" collapsed="false">
      <c r="A27" s="13" t="s">
        <v>1129</v>
      </c>
      <c r="B27" s="13" t="s">
        <v>1151</v>
      </c>
      <c r="C27" s="13" t="s">
        <v>1150</v>
      </c>
      <c r="D27" s="13" t="n">
        <f aca="false">LEN(C27)-LEN(SUBSTITUTE(C27,",",""))+1</f>
        <v>1</v>
      </c>
    </row>
    <row r="28" customFormat="false" ht="15" hidden="false" customHeight="false" outlineLevel="0" collapsed="false">
      <c r="A28" s="13" t="s">
        <v>541</v>
      </c>
      <c r="B28" s="13" t="s">
        <v>547</v>
      </c>
      <c r="C28" s="13" t="s">
        <v>546</v>
      </c>
      <c r="D28" s="13" t="n">
        <f aca="false">LEN(C28)-LEN(SUBSTITUTE(C28,",",""))+1</f>
        <v>1</v>
      </c>
    </row>
    <row r="29" customFormat="false" ht="15" hidden="false" customHeight="false" outlineLevel="0" collapsed="false">
      <c r="A29" s="13" t="s">
        <v>541</v>
      </c>
      <c r="B29" s="13" t="s">
        <v>593</v>
      </c>
      <c r="C29" s="13" t="s">
        <v>592</v>
      </c>
      <c r="D29" s="13" t="n">
        <f aca="false">LEN(C29)-LEN(SUBSTITUTE(C29,",",""))+1</f>
        <v>1</v>
      </c>
    </row>
    <row r="30" customFormat="false" ht="15" hidden="false" customHeight="false" outlineLevel="0" collapsed="false">
      <c r="A30" s="13" t="s">
        <v>541</v>
      </c>
      <c r="B30" s="13" t="s">
        <v>603</v>
      </c>
      <c r="C30" s="13" t="s">
        <v>602</v>
      </c>
      <c r="D30" s="13" t="n">
        <f aca="false">LEN(C30)-LEN(SUBSTITUTE(C30,",",""))+1</f>
        <v>1</v>
      </c>
    </row>
    <row r="31" customFormat="false" ht="15" hidden="false" customHeight="false" outlineLevel="0" collapsed="false">
      <c r="A31" s="13" t="s">
        <v>541</v>
      </c>
      <c r="B31" s="13" t="s">
        <v>598</v>
      </c>
      <c r="C31" s="13" t="s">
        <v>597</v>
      </c>
      <c r="D31" s="13" t="n">
        <f aca="false">LEN(C31)-LEN(SUBSTITUTE(C31,",",""))+1</f>
        <v>1</v>
      </c>
    </row>
    <row r="32" customFormat="false" ht="15" hidden="false" customHeight="false" outlineLevel="0" collapsed="false">
      <c r="A32" s="13" t="s">
        <v>541</v>
      </c>
      <c r="B32" s="13" t="s">
        <v>588</v>
      </c>
      <c r="C32" s="13" t="s">
        <v>587</v>
      </c>
      <c r="D32" s="13" t="n">
        <f aca="false">LEN(C32)-LEN(SUBSTITUTE(C32,",",""))+1</f>
        <v>1</v>
      </c>
    </row>
    <row r="33" customFormat="false" ht="15" hidden="false" customHeight="false" outlineLevel="0" collapsed="false">
      <c r="A33" s="13" t="s">
        <v>541</v>
      </c>
      <c r="B33" s="13" t="s">
        <v>583</v>
      </c>
      <c r="C33" s="13" t="s">
        <v>582</v>
      </c>
      <c r="D33" s="13" t="n">
        <f aca="false">LEN(C33)-LEN(SUBSTITUTE(C33,",",""))+1</f>
        <v>1</v>
      </c>
    </row>
    <row r="34" customFormat="false" ht="23.85" hidden="false" customHeight="false" outlineLevel="0" collapsed="false">
      <c r="A34" s="13" t="s">
        <v>541</v>
      </c>
      <c r="B34" s="13" t="s">
        <v>552</v>
      </c>
      <c r="C34" s="13" t="s">
        <v>1713</v>
      </c>
      <c r="D34" s="13" t="n">
        <f aca="false">LEN(C34)-LEN(SUBSTITUTE(C34,",",""))+1</f>
        <v>8</v>
      </c>
    </row>
    <row r="35" customFormat="false" ht="23.85" hidden="false" customHeight="false" outlineLevel="0" collapsed="false">
      <c r="A35" s="13" t="s">
        <v>541</v>
      </c>
      <c r="B35" s="13" t="s">
        <v>542</v>
      </c>
      <c r="C35" s="13" t="s">
        <v>540</v>
      </c>
      <c r="D35" s="13" t="n">
        <f aca="false">LEN(C35)-LEN(SUBSTITUTE(C35,",",""))+1</f>
        <v>1</v>
      </c>
    </row>
    <row r="36" customFormat="false" ht="15" hidden="false" customHeight="false" outlineLevel="0" collapsed="false">
      <c r="A36" s="13" t="s">
        <v>821</v>
      </c>
      <c r="B36" s="13" t="s">
        <v>863</v>
      </c>
      <c r="C36" s="13" t="s">
        <v>862</v>
      </c>
      <c r="D36" s="13" t="n">
        <f aca="false">LEN(C36)-LEN(SUBSTITUTE(C36,",",""))+1</f>
        <v>1</v>
      </c>
    </row>
    <row r="37" customFormat="false" ht="15" hidden="false" customHeight="false" outlineLevel="0" collapsed="false">
      <c r="A37" s="13" t="s">
        <v>821</v>
      </c>
      <c r="B37" s="13" t="s">
        <v>838</v>
      </c>
      <c r="C37" s="13" t="s">
        <v>837</v>
      </c>
      <c r="D37" s="13" t="n">
        <f aca="false">LEN(C37)-LEN(SUBSTITUTE(C37,",",""))+1</f>
        <v>1</v>
      </c>
    </row>
    <row r="38" customFormat="false" ht="15" hidden="false" customHeight="false" outlineLevel="0" collapsed="false">
      <c r="A38" s="13" t="s">
        <v>821</v>
      </c>
      <c r="B38" s="13" t="s">
        <v>843</v>
      </c>
      <c r="C38" s="13" t="s">
        <v>842</v>
      </c>
      <c r="D38" s="13" t="n">
        <f aca="false">LEN(C38)-LEN(SUBSTITUTE(C38,",",""))+1</f>
        <v>1</v>
      </c>
    </row>
    <row r="39" customFormat="false" ht="15" hidden="false" customHeight="false" outlineLevel="0" collapsed="false">
      <c r="A39" s="13" t="s">
        <v>821</v>
      </c>
      <c r="B39" s="13" t="s">
        <v>853</v>
      </c>
      <c r="C39" s="13" t="s">
        <v>851</v>
      </c>
      <c r="D39" s="13" t="n">
        <f aca="false">LEN(C39)-LEN(SUBSTITUTE(C39,",",""))+1</f>
        <v>1</v>
      </c>
    </row>
    <row r="40" customFormat="false" ht="15" hidden="false" customHeight="false" outlineLevel="0" collapsed="false">
      <c r="A40" s="13" t="s">
        <v>821</v>
      </c>
      <c r="B40" s="13" t="s">
        <v>822</v>
      </c>
      <c r="C40" s="13" t="s">
        <v>1714</v>
      </c>
      <c r="D40" s="13" t="n">
        <f aca="false">LEN(C40)-LEN(SUBSTITUTE(C40,",",""))+1</f>
        <v>4</v>
      </c>
    </row>
    <row r="41" customFormat="false" ht="15" hidden="false" customHeight="false" outlineLevel="0" collapsed="false">
      <c r="A41" s="13" t="s">
        <v>821</v>
      </c>
      <c r="B41" s="13" t="s">
        <v>848</v>
      </c>
      <c r="C41" s="13" t="s">
        <v>847</v>
      </c>
      <c r="D41" s="13" t="n">
        <f aca="false">LEN(C41)-LEN(SUBSTITUTE(C41,",",""))+1</f>
        <v>1</v>
      </c>
    </row>
    <row r="42" customFormat="false" ht="15" hidden="false" customHeight="false" outlineLevel="0" collapsed="false">
      <c r="A42" s="13" t="s">
        <v>821</v>
      </c>
      <c r="B42" s="13" t="s">
        <v>858</v>
      </c>
      <c r="C42" s="13" t="s">
        <v>857</v>
      </c>
      <c r="D42" s="13" t="n">
        <f aca="false">LEN(C42)-LEN(SUBSTITUTE(C42,",",""))+1</f>
        <v>1</v>
      </c>
    </row>
    <row r="43" customFormat="false" ht="15" hidden="false" customHeight="false" outlineLevel="0" collapsed="false">
      <c r="A43" s="13" t="s">
        <v>1236</v>
      </c>
      <c r="B43" s="13" t="s">
        <v>1408</v>
      </c>
      <c r="C43" s="13" t="s">
        <v>1407</v>
      </c>
      <c r="D43" s="13" t="n">
        <f aca="false">LEN(C43)-LEN(SUBSTITUTE(C43,",",""))+1</f>
        <v>1</v>
      </c>
    </row>
    <row r="44" customFormat="false" ht="15" hidden="false" customHeight="false" outlineLevel="0" collapsed="false">
      <c r="A44" s="13" t="s">
        <v>1236</v>
      </c>
      <c r="B44" s="13" t="s">
        <v>1398</v>
      </c>
      <c r="C44" s="13" t="s">
        <v>1397</v>
      </c>
      <c r="D44" s="13" t="n">
        <f aca="false">LEN(C44)-LEN(SUBSTITUTE(C44,",",""))+1</f>
        <v>1</v>
      </c>
    </row>
    <row r="45" customFormat="false" ht="15" hidden="false" customHeight="false" outlineLevel="0" collapsed="false">
      <c r="A45" s="13" t="s">
        <v>1236</v>
      </c>
      <c r="B45" s="13" t="s">
        <v>1403</v>
      </c>
      <c r="C45" s="13" t="s">
        <v>1402</v>
      </c>
      <c r="D45" s="13" t="n">
        <f aca="false">LEN(C45)-LEN(SUBSTITUTE(C45,",",""))+1</f>
        <v>1</v>
      </c>
    </row>
    <row r="46" customFormat="false" ht="15" hidden="false" customHeight="false" outlineLevel="0" collapsed="false">
      <c r="A46" s="13" t="s">
        <v>1236</v>
      </c>
      <c r="B46" s="13" t="s">
        <v>1383</v>
      </c>
      <c r="C46" s="13" t="s">
        <v>1382</v>
      </c>
      <c r="D46" s="13" t="n">
        <f aca="false">LEN(C46)-LEN(SUBSTITUTE(C46,",",""))+1</f>
        <v>1</v>
      </c>
    </row>
    <row r="47" customFormat="false" ht="15" hidden="false" customHeight="false" outlineLevel="0" collapsed="false">
      <c r="A47" s="13" t="s">
        <v>1236</v>
      </c>
      <c r="B47" s="13" t="s">
        <v>1265</v>
      </c>
      <c r="C47" s="13" t="s">
        <v>1264</v>
      </c>
      <c r="D47" s="13" t="n">
        <f aca="false">LEN(C47)-LEN(SUBSTITUTE(C47,",",""))+1</f>
        <v>1</v>
      </c>
    </row>
    <row r="48" customFormat="false" ht="15" hidden="false" customHeight="false" outlineLevel="0" collapsed="false">
      <c r="A48" s="13" t="s">
        <v>1236</v>
      </c>
      <c r="B48" s="13" t="s">
        <v>1260</v>
      </c>
      <c r="C48" s="13" t="s">
        <v>1259</v>
      </c>
      <c r="D48" s="13" t="n">
        <f aca="false">LEN(C48)-LEN(SUBSTITUTE(C48,",",""))+1</f>
        <v>1</v>
      </c>
    </row>
    <row r="49" customFormat="false" ht="15" hidden="false" customHeight="false" outlineLevel="0" collapsed="false">
      <c r="A49" s="13" t="s">
        <v>1236</v>
      </c>
      <c r="B49" s="13" t="s">
        <v>1378</v>
      </c>
      <c r="C49" s="13" t="s">
        <v>1377</v>
      </c>
      <c r="D49" s="13" t="n">
        <f aca="false">LEN(C49)-LEN(SUBSTITUTE(C49,",",""))+1</f>
        <v>1</v>
      </c>
    </row>
    <row r="50" customFormat="false" ht="15" hidden="false" customHeight="false" outlineLevel="0" collapsed="false">
      <c r="A50" s="13" t="s">
        <v>1236</v>
      </c>
      <c r="B50" s="13" t="s">
        <v>895</v>
      </c>
      <c r="C50" s="13" t="s">
        <v>1715</v>
      </c>
      <c r="D50" s="13" t="n">
        <f aca="false">LEN(C50)-LEN(SUBSTITUTE(C50,",",""))+1</f>
        <v>4</v>
      </c>
    </row>
    <row r="51" customFormat="false" ht="15" hidden="false" customHeight="false" outlineLevel="0" collapsed="false">
      <c r="A51" s="13" t="s">
        <v>1236</v>
      </c>
      <c r="B51" s="13" t="s">
        <v>1423</v>
      </c>
      <c r="C51" s="13" t="s">
        <v>1422</v>
      </c>
      <c r="D51" s="13" t="n">
        <f aca="false">LEN(C51)-LEN(SUBSTITUTE(C51,",",""))+1</f>
        <v>1</v>
      </c>
    </row>
    <row r="52" customFormat="false" ht="15" hidden="false" customHeight="false" outlineLevel="0" collapsed="false">
      <c r="A52" s="13" t="s">
        <v>1236</v>
      </c>
      <c r="B52" s="13" t="s">
        <v>1429</v>
      </c>
      <c r="C52" s="13" t="s">
        <v>1428</v>
      </c>
      <c r="D52" s="13" t="n">
        <f aca="false">LEN(C52)-LEN(SUBSTITUTE(C52,",",""))+1</f>
        <v>1</v>
      </c>
    </row>
    <row r="53" customFormat="false" ht="15" hidden="false" customHeight="false" outlineLevel="0" collapsed="false">
      <c r="A53" s="13" t="s">
        <v>1236</v>
      </c>
      <c r="B53" s="13" t="s">
        <v>929</v>
      </c>
      <c r="C53" s="13" t="s">
        <v>1256</v>
      </c>
      <c r="D53" s="13" t="n">
        <f aca="false">LEN(C53)-LEN(SUBSTITUTE(C53,",",""))+1</f>
        <v>1</v>
      </c>
    </row>
    <row r="54" customFormat="false" ht="15" hidden="false" customHeight="false" outlineLevel="0" collapsed="false">
      <c r="A54" s="13" t="s">
        <v>1236</v>
      </c>
      <c r="B54" s="13" t="s">
        <v>1388</v>
      </c>
      <c r="C54" s="13" t="s">
        <v>1387</v>
      </c>
      <c r="D54" s="13" t="n">
        <f aca="false">LEN(C54)-LEN(SUBSTITUTE(C54,",",""))+1</f>
        <v>1</v>
      </c>
    </row>
    <row r="55" customFormat="false" ht="15" hidden="false" customHeight="false" outlineLevel="0" collapsed="false">
      <c r="A55" s="13" t="s">
        <v>1236</v>
      </c>
      <c r="B55" s="13" t="s">
        <v>1242</v>
      </c>
      <c r="C55" s="13" t="s">
        <v>1241</v>
      </c>
      <c r="D55" s="13" t="n">
        <f aca="false">LEN(C55)-LEN(SUBSTITUTE(C55,",",""))+1</f>
        <v>1</v>
      </c>
    </row>
    <row r="56" customFormat="false" ht="23.85" hidden="false" customHeight="false" outlineLevel="0" collapsed="false">
      <c r="A56" s="13" t="s">
        <v>1236</v>
      </c>
      <c r="B56" s="13" t="s">
        <v>1412</v>
      </c>
      <c r="C56" s="13" t="s">
        <v>1411</v>
      </c>
      <c r="D56" s="13" t="n">
        <f aca="false">LEN(C56)-LEN(SUBSTITUTE(C56,",",""))+1</f>
        <v>1</v>
      </c>
    </row>
    <row r="57" customFormat="false" ht="15" hidden="false" customHeight="false" outlineLevel="0" collapsed="false">
      <c r="A57" s="13" t="s">
        <v>1236</v>
      </c>
      <c r="B57" s="13" t="s">
        <v>1393</v>
      </c>
      <c r="C57" s="13" t="s">
        <v>1392</v>
      </c>
      <c r="D57" s="13" t="n">
        <f aca="false">LEN(C57)-LEN(SUBSTITUTE(C57,",",""))+1</f>
        <v>1</v>
      </c>
    </row>
    <row r="58" customFormat="false" ht="15" hidden="false" customHeight="false" outlineLevel="0" collapsed="false">
      <c r="A58" s="13" t="s">
        <v>1236</v>
      </c>
      <c r="B58" s="13" t="s">
        <v>1417</v>
      </c>
      <c r="C58" s="13" t="s">
        <v>1416</v>
      </c>
      <c r="D58" s="13" t="n">
        <f aca="false">LEN(C58)-LEN(SUBSTITUTE(C58,",",""))+1</f>
        <v>1</v>
      </c>
    </row>
    <row r="59" customFormat="false" ht="15" hidden="false" customHeight="false" outlineLevel="0" collapsed="false">
      <c r="A59" s="13" t="s">
        <v>1236</v>
      </c>
      <c r="B59" s="13" t="s">
        <v>1368</v>
      </c>
      <c r="C59" s="13" t="s">
        <v>1367</v>
      </c>
      <c r="D59" s="13" t="n">
        <f aca="false">LEN(C59)-LEN(SUBSTITUTE(C59,",",""))+1</f>
        <v>1</v>
      </c>
    </row>
    <row r="60" customFormat="false" ht="15" hidden="false" customHeight="false" outlineLevel="0" collapsed="false">
      <c r="A60" s="13" t="s">
        <v>1236</v>
      </c>
      <c r="B60" s="13" t="s">
        <v>1373</v>
      </c>
      <c r="C60" s="13" t="s">
        <v>1372</v>
      </c>
      <c r="D60" s="13" t="n">
        <f aca="false">LEN(C60)-LEN(SUBSTITUTE(C60,",",""))+1</f>
        <v>1</v>
      </c>
    </row>
    <row r="61" customFormat="false" ht="15" hidden="false" customHeight="false" outlineLevel="0" collapsed="false">
      <c r="A61" s="13" t="s">
        <v>1236</v>
      </c>
      <c r="B61" s="13" t="s">
        <v>1334</v>
      </c>
      <c r="C61" s="13" t="s">
        <v>1333</v>
      </c>
      <c r="D61" s="13" t="n">
        <f aca="false">LEN(C61)-LEN(SUBSTITUTE(C61,",",""))+1</f>
        <v>1</v>
      </c>
    </row>
    <row r="62" customFormat="false" ht="15" hidden="false" customHeight="false" outlineLevel="0" collapsed="false">
      <c r="A62" s="13" t="s">
        <v>1236</v>
      </c>
      <c r="B62" s="13" t="s">
        <v>1348</v>
      </c>
      <c r="C62" s="13" t="s">
        <v>1347</v>
      </c>
      <c r="D62" s="13" t="n">
        <f aca="false">LEN(C62)-LEN(SUBSTITUTE(C62,",",""))+1</f>
        <v>1</v>
      </c>
    </row>
    <row r="63" customFormat="false" ht="15" hidden="false" customHeight="false" outlineLevel="0" collapsed="false">
      <c r="A63" s="13" t="s">
        <v>1236</v>
      </c>
      <c r="B63" s="13" t="s">
        <v>1324</v>
      </c>
      <c r="C63" s="13" t="s">
        <v>1323</v>
      </c>
      <c r="D63" s="13" t="n">
        <f aca="false">LEN(C63)-LEN(SUBSTITUTE(C63,",",""))+1</f>
        <v>1</v>
      </c>
    </row>
    <row r="64" customFormat="false" ht="15" hidden="false" customHeight="false" outlineLevel="0" collapsed="false">
      <c r="A64" s="13" t="s">
        <v>1236</v>
      </c>
      <c r="B64" s="13" t="s">
        <v>1315</v>
      </c>
      <c r="C64" s="13" t="s">
        <v>1314</v>
      </c>
      <c r="D64" s="13" t="n">
        <f aca="false">LEN(C64)-LEN(SUBSTITUTE(C64,",",""))+1</f>
        <v>1</v>
      </c>
    </row>
    <row r="65" customFormat="false" ht="15" hidden="false" customHeight="false" outlineLevel="0" collapsed="false">
      <c r="A65" s="13" t="s">
        <v>1236</v>
      </c>
      <c r="B65" s="13" t="s">
        <v>1306</v>
      </c>
      <c r="C65" s="13" t="s">
        <v>1305</v>
      </c>
      <c r="D65" s="13" t="n">
        <f aca="false">LEN(C65)-LEN(SUBSTITUTE(C65,",",""))+1</f>
        <v>1</v>
      </c>
    </row>
    <row r="66" customFormat="false" ht="15" hidden="false" customHeight="false" outlineLevel="0" collapsed="false">
      <c r="A66" s="13" t="s">
        <v>1236</v>
      </c>
      <c r="B66" s="13" t="s">
        <v>1297</v>
      </c>
      <c r="C66" s="13" t="s">
        <v>1296</v>
      </c>
      <c r="D66" s="13" t="n">
        <f aca="false">LEN(C66)-LEN(SUBSTITUTE(C66,",",""))+1</f>
        <v>1</v>
      </c>
    </row>
    <row r="67" customFormat="false" ht="15" hidden="false" customHeight="false" outlineLevel="0" collapsed="false">
      <c r="A67" s="13" t="s">
        <v>1236</v>
      </c>
      <c r="B67" s="13" t="s">
        <v>1302</v>
      </c>
      <c r="C67" s="13" t="s">
        <v>1301</v>
      </c>
      <c r="D67" s="13" t="n">
        <f aca="false">LEN(C67)-LEN(SUBSTITUTE(C67,",",""))+1</f>
        <v>1</v>
      </c>
    </row>
    <row r="68" customFormat="false" ht="15" hidden="false" customHeight="false" outlineLevel="0" collapsed="false">
      <c r="A68" s="13" t="s">
        <v>1236</v>
      </c>
      <c r="B68" s="13" t="s">
        <v>1353</v>
      </c>
      <c r="C68" s="13" t="s">
        <v>1352</v>
      </c>
      <c r="D68" s="13" t="n">
        <f aca="false">LEN(C68)-LEN(SUBSTITUTE(C68,",",""))+1</f>
        <v>1</v>
      </c>
    </row>
    <row r="69" customFormat="false" ht="15" hidden="false" customHeight="false" outlineLevel="0" collapsed="false">
      <c r="A69" s="13" t="s">
        <v>1236</v>
      </c>
      <c r="B69" s="13" t="s">
        <v>1363</v>
      </c>
      <c r="C69" s="13" t="s">
        <v>1362</v>
      </c>
      <c r="D69" s="13" t="n">
        <f aca="false">LEN(C69)-LEN(SUBSTITUTE(C69,",",""))+1</f>
        <v>1</v>
      </c>
    </row>
    <row r="70" customFormat="false" ht="15" hidden="false" customHeight="false" outlineLevel="0" collapsed="false">
      <c r="A70" s="13" t="s">
        <v>1236</v>
      </c>
      <c r="B70" s="13" t="s">
        <v>1339</v>
      </c>
      <c r="C70" s="13" t="s">
        <v>1338</v>
      </c>
      <c r="D70" s="13" t="n">
        <f aca="false">LEN(C70)-LEN(SUBSTITUTE(C70,",",""))+1</f>
        <v>1</v>
      </c>
    </row>
    <row r="71" customFormat="false" ht="15" hidden="false" customHeight="false" outlineLevel="0" collapsed="false">
      <c r="A71" s="13" t="s">
        <v>1236</v>
      </c>
      <c r="B71" s="13" t="s">
        <v>1358</v>
      </c>
      <c r="C71" s="13" t="s">
        <v>1357</v>
      </c>
      <c r="D71" s="13" t="n">
        <f aca="false">LEN(C71)-LEN(SUBSTITUTE(C71,",",""))+1</f>
        <v>1</v>
      </c>
    </row>
    <row r="72" customFormat="false" ht="15" hidden="false" customHeight="false" outlineLevel="0" collapsed="false">
      <c r="A72" s="13" t="s">
        <v>1236</v>
      </c>
      <c r="B72" s="13" t="s">
        <v>1329</v>
      </c>
      <c r="C72" s="13" t="s">
        <v>1328</v>
      </c>
      <c r="D72" s="13" t="n">
        <f aca="false">LEN(C72)-LEN(SUBSTITUTE(C72,",",""))+1</f>
        <v>1</v>
      </c>
    </row>
    <row r="73" customFormat="false" ht="15" hidden="false" customHeight="false" outlineLevel="0" collapsed="false">
      <c r="A73" s="13" t="s">
        <v>1236</v>
      </c>
      <c r="B73" s="13" t="s">
        <v>1320</v>
      </c>
      <c r="C73" s="13" t="s">
        <v>1319</v>
      </c>
      <c r="D73" s="13" t="n">
        <f aca="false">LEN(C73)-LEN(SUBSTITUTE(C73,",",""))+1</f>
        <v>1</v>
      </c>
    </row>
    <row r="74" customFormat="false" ht="15" hidden="false" customHeight="false" outlineLevel="0" collapsed="false">
      <c r="A74" s="13" t="s">
        <v>1236</v>
      </c>
      <c r="B74" s="13" t="s">
        <v>1344</v>
      </c>
      <c r="C74" s="13" t="s">
        <v>1343</v>
      </c>
      <c r="D74" s="13" t="n">
        <f aca="false">LEN(C74)-LEN(SUBSTITUTE(C74,",",""))+1</f>
        <v>1</v>
      </c>
    </row>
    <row r="75" customFormat="false" ht="15" hidden="false" customHeight="false" outlineLevel="0" collapsed="false">
      <c r="A75" s="13" t="s">
        <v>1236</v>
      </c>
      <c r="B75" s="13" t="s">
        <v>1270</v>
      </c>
      <c r="C75" s="13" t="s">
        <v>1269</v>
      </c>
      <c r="D75" s="13" t="n">
        <f aca="false">LEN(C75)-LEN(SUBSTITUTE(C75,",",""))+1</f>
        <v>1</v>
      </c>
    </row>
    <row r="76" customFormat="false" ht="15" hidden="false" customHeight="false" outlineLevel="0" collapsed="false">
      <c r="A76" s="13" t="s">
        <v>1236</v>
      </c>
      <c r="B76" s="13" t="s">
        <v>1252</v>
      </c>
      <c r="C76" s="13" t="s">
        <v>1251</v>
      </c>
      <c r="D76" s="13" t="n">
        <f aca="false">LEN(C76)-LEN(SUBSTITUTE(C76,",",""))+1</f>
        <v>1</v>
      </c>
    </row>
    <row r="77" customFormat="false" ht="15" hidden="false" customHeight="false" outlineLevel="0" collapsed="false">
      <c r="A77" s="13" t="s">
        <v>1236</v>
      </c>
      <c r="B77" s="13" t="s">
        <v>1311</v>
      </c>
      <c r="C77" s="13" t="s">
        <v>1310</v>
      </c>
      <c r="D77" s="13" t="n">
        <f aca="false">LEN(C77)-LEN(SUBSTITUTE(C77,",",""))+1</f>
        <v>1</v>
      </c>
    </row>
    <row r="78" customFormat="false" ht="15" hidden="false" customHeight="false" outlineLevel="0" collapsed="false">
      <c r="A78" s="13" t="s">
        <v>1236</v>
      </c>
      <c r="B78" s="13" t="s">
        <v>1275</v>
      </c>
      <c r="C78" s="13" t="s">
        <v>1274</v>
      </c>
      <c r="D78" s="13" t="n">
        <f aca="false">LEN(C78)-LEN(SUBSTITUTE(C78,",",""))+1</f>
        <v>1</v>
      </c>
    </row>
    <row r="79" customFormat="false" ht="15" hidden="false" customHeight="false" outlineLevel="0" collapsed="false">
      <c r="A79" s="13" t="s">
        <v>1236</v>
      </c>
      <c r="B79" s="13" t="s">
        <v>1280</v>
      </c>
      <c r="C79" s="13" t="s">
        <v>1279</v>
      </c>
      <c r="D79" s="13" t="n">
        <f aca="false">LEN(C79)-LEN(SUBSTITUTE(C79,",",""))+1</f>
        <v>1</v>
      </c>
    </row>
    <row r="80" customFormat="false" ht="15" hidden="false" customHeight="false" outlineLevel="0" collapsed="false">
      <c r="A80" s="13" t="s">
        <v>1236</v>
      </c>
      <c r="B80" s="13" t="s">
        <v>1290</v>
      </c>
      <c r="C80" s="13" t="s">
        <v>1289</v>
      </c>
      <c r="D80" s="13" t="n">
        <f aca="false">LEN(C80)-LEN(SUBSTITUTE(C80,",",""))+1</f>
        <v>1</v>
      </c>
    </row>
    <row r="81" customFormat="false" ht="15" hidden="false" customHeight="false" outlineLevel="0" collapsed="false">
      <c r="A81" s="13" t="s">
        <v>1236</v>
      </c>
      <c r="B81" s="13" t="s">
        <v>1293</v>
      </c>
      <c r="C81" s="13" t="s">
        <v>1292</v>
      </c>
      <c r="D81" s="13" t="n">
        <f aca="false">LEN(C81)-LEN(SUBSTITUTE(C81,",",""))+1</f>
        <v>1</v>
      </c>
    </row>
    <row r="82" customFormat="false" ht="15" hidden="false" customHeight="false" outlineLevel="0" collapsed="false">
      <c r="A82" s="13" t="s">
        <v>1236</v>
      </c>
      <c r="B82" s="13" t="s">
        <v>919</v>
      </c>
      <c r="C82" s="13" t="s">
        <v>1245</v>
      </c>
      <c r="D82" s="13" t="n">
        <f aca="false">LEN(C82)-LEN(SUBSTITUTE(C82,",",""))+1</f>
        <v>1</v>
      </c>
    </row>
    <row r="83" customFormat="false" ht="15" hidden="false" customHeight="false" outlineLevel="0" collapsed="false">
      <c r="A83" s="13" t="s">
        <v>1236</v>
      </c>
      <c r="B83" s="13" t="s">
        <v>1249</v>
      </c>
      <c r="C83" s="13" t="s">
        <v>1248</v>
      </c>
      <c r="D83" s="13" t="n">
        <f aca="false">LEN(C83)-LEN(SUBSTITUTE(C83,",",""))+1</f>
        <v>1</v>
      </c>
    </row>
    <row r="84" customFormat="false" ht="15" hidden="false" customHeight="false" outlineLevel="0" collapsed="false">
      <c r="A84" s="13" t="s">
        <v>1236</v>
      </c>
      <c r="B84" s="13" t="s">
        <v>1285</v>
      </c>
      <c r="C84" s="13" t="s">
        <v>1284</v>
      </c>
      <c r="D84" s="13" t="n">
        <f aca="false">LEN(C84)-LEN(SUBSTITUTE(C84,",",""))+1</f>
        <v>1</v>
      </c>
    </row>
    <row r="85" customFormat="false" ht="23.85" hidden="false" customHeight="false" outlineLevel="0" collapsed="false">
      <c r="A85" s="13" t="s">
        <v>429</v>
      </c>
      <c r="B85" s="13" t="s">
        <v>533</v>
      </c>
      <c r="C85" s="13" t="s">
        <v>532</v>
      </c>
      <c r="D85" s="13" t="n">
        <f aca="false">LEN(C85)-LEN(SUBSTITUTE(C85,",",""))+1</f>
        <v>1</v>
      </c>
    </row>
    <row r="86" customFormat="false" ht="15" hidden="false" customHeight="false" outlineLevel="0" collapsed="false">
      <c r="A86" s="13" t="s">
        <v>429</v>
      </c>
      <c r="B86" s="13" t="s">
        <v>523</v>
      </c>
      <c r="C86" s="13" t="s">
        <v>522</v>
      </c>
      <c r="D86" s="13" t="n">
        <f aca="false">LEN(C86)-LEN(SUBSTITUTE(C86,",",""))+1</f>
        <v>1</v>
      </c>
    </row>
    <row r="87" customFormat="false" ht="15" hidden="false" customHeight="false" outlineLevel="0" collapsed="false">
      <c r="A87" s="13" t="s">
        <v>429</v>
      </c>
      <c r="B87" s="13" t="s">
        <v>528</v>
      </c>
      <c r="C87" s="13" t="s">
        <v>527</v>
      </c>
      <c r="D87" s="13" t="n">
        <f aca="false">LEN(C87)-LEN(SUBSTITUTE(C87,",",""))+1</f>
        <v>1</v>
      </c>
    </row>
    <row r="88" customFormat="false" ht="15" hidden="false" customHeight="false" outlineLevel="0" collapsed="false">
      <c r="A88" s="13" t="s">
        <v>429</v>
      </c>
      <c r="B88" s="13" t="s">
        <v>498</v>
      </c>
      <c r="C88" s="13" t="s">
        <v>497</v>
      </c>
      <c r="D88" s="13" t="n">
        <f aca="false">LEN(C88)-LEN(SUBSTITUTE(C88,",",""))+1</f>
        <v>1</v>
      </c>
    </row>
    <row r="89" customFormat="false" ht="15" hidden="false" customHeight="false" outlineLevel="0" collapsed="false">
      <c r="A89" s="13" t="s">
        <v>429</v>
      </c>
      <c r="B89" s="13" t="s">
        <v>503</v>
      </c>
      <c r="C89" s="13" t="s">
        <v>502</v>
      </c>
      <c r="D89" s="13" t="n">
        <f aca="false">LEN(C89)-LEN(SUBSTITUTE(C89,",",""))+1</f>
        <v>1</v>
      </c>
    </row>
    <row r="90" customFormat="false" ht="15" hidden="false" customHeight="false" outlineLevel="0" collapsed="false">
      <c r="A90" s="13" t="s">
        <v>429</v>
      </c>
      <c r="B90" s="13" t="s">
        <v>537</v>
      </c>
      <c r="C90" s="13" t="s">
        <v>536</v>
      </c>
      <c r="D90" s="13" t="n">
        <f aca="false">LEN(C90)-LEN(SUBSTITUTE(C90,",",""))+1</f>
        <v>1</v>
      </c>
    </row>
    <row r="91" customFormat="false" ht="15" hidden="false" customHeight="false" outlineLevel="0" collapsed="false">
      <c r="A91" s="13" t="s">
        <v>429</v>
      </c>
      <c r="B91" s="13" t="s">
        <v>475</v>
      </c>
      <c r="C91" s="13" t="s">
        <v>474</v>
      </c>
      <c r="D91" s="13" t="n">
        <f aca="false">LEN(C91)-LEN(SUBSTITUTE(C91,",",""))+1</f>
        <v>1</v>
      </c>
    </row>
    <row r="92" customFormat="false" ht="15" hidden="false" customHeight="false" outlineLevel="0" collapsed="false">
      <c r="A92" s="13" t="s">
        <v>429</v>
      </c>
      <c r="B92" s="13" t="s">
        <v>488</v>
      </c>
      <c r="C92" s="13" t="s">
        <v>486</v>
      </c>
      <c r="D92" s="13" t="n">
        <f aca="false">LEN(C92)-LEN(SUBSTITUTE(C92,",",""))+1</f>
        <v>1</v>
      </c>
    </row>
    <row r="93" customFormat="false" ht="15" hidden="false" customHeight="false" outlineLevel="0" collapsed="false">
      <c r="A93" s="13" t="s">
        <v>429</v>
      </c>
      <c r="B93" s="13" t="s">
        <v>479</v>
      </c>
      <c r="C93" s="13" t="s">
        <v>478</v>
      </c>
      <c r="D93" s="13" t="n">
        <f aca="false">LEN(C93)-LEN(SUBSTITUTE(C93,",",""))+1</f>
        <v>1</v>
      </c>
    </row>
    <row r="94" customFormat="false" ht="15" hidden="false" customHeight="false" outlineLevel="0" collapsed="false">
      <c r="A94" s="13" t="s">
        <v>429</v>
      </c>
      <c r="B94" s="13" t="s">
        <v>483</v>
      </c>
      <c r="C94" s="13" t="s">
        <v>482</v>
      </c>
      <c r="D94" s="13" t="n">
        <f aca="false">LEN(C94)-LEN(SUBSTITUTE(C94,",",""))+1</f>
        <v>1</v>
      </c>
    </row>
    <row r="95" customFormat="false" ht="15" hidden="false" customHeight="false" outlineLevel="0" collapsed="false">
      <c r="A95" s="13" t="s">
        <v>429</v>
      </c>
      <c r="B95" s="13" t="s">
        <v>508</v>
      </c>
      <c r="C95" s="13" t="s">
        <v>507</v>
      </c>
      <c r="D95" s="13" t="n">
        <f aca="false">LEN(C95)-LEN(SUBSTITUTE(C95,",",""))+1</f>
        <v>1</v>
      </c>
    </row>
    <row r="96" customFormat="false" ht="15" hidden="false" customHeight="false" outlineLevel="0" collapsed="false">
      <c r="A96" s="13" t="s">
        <v>429</v>
      </c>
      <c r="B96" s="13" t="s">
        <v>459</v>
      </c>
      <c r="C96" s="13" t="s">
        <v>1716</v>
      </c>
      <c r="D96" s="13" t="n">
        <f aca="false">LEN(C96)-LEN(SUBSTITUTE(C96,",",""))+1</f>
        <v>4</v>
      </c>
    </row>
    <row r="97" customFormat="false" ht="15" hidden="false" customHeight="false" outlineLevel="0" collapsed="false">
      <c r="A97" s="13" t="s">
        <v>429</v>
      </c>
      <c r="B97" s="13" t="s">
        <v>518</v>
      </c>
      <c r="C97" s="13" t="s">
        <v>517</v>
      </c>
      <c r="D97" s="13" t="n">
        <f aca="false">LEN(C97)-LEN(SUBSTITUTE(C97,",",""))+1</f>
        <v>1</v>
      </c>
    </row>
    <row r="98" customFormat="false" ht="15" hidden="false" customHeight="false" outlineLevel="0" collapsed="false">
      <c r="A98" s="13" t="s">
        <v>429</v>
      </c>
      <c r="B98" s="13" t="s">
        <v>513</v>
      </c>
      <c r="C98" s="13" t="s">
        <v>512</v>
      </c>
      <c r="D98" s="13" t="n">
        <f aca="false">LEN(C98)-LEN(SUBSTITUTE(C98,",",""))+1</f>
        <v>1</v>
      </c>
    </row>
    <row r="99" customFormat="false" ht="15" hidden="false" customHeight="false" outlineLevel="0" collapsed="false">
      <c r="A99" s="13" t="s">
        <v>429</v>
      </c>
      <c r="B99" s="13" t="s">
        <v>493</v>
      </c>
      <c r="C99" s="13" t="s">
        <v>492</v>
      </c>
      <c r="D99" s="13" t="n">
        <f aca="false">LEN(C99)-LEN(SUBSTITUTE(C99,",",""))+1</f>
        <v>1</v>
      </c>
    </row>
    <row r="100" customFormat="false" ht="23.85" hidden="false" customHeight="false" outlineLevel="0" collapsed="false">
      <c r="A100" s="13" t="s">
        <v>429</v>
      </c>
      <c r="B100" s="13" t="s">
        <v>431</v>
      </c>
      <c r="C100" s="13" t="s">
        <v>1717</v>
      </c>
      <c r="D100" s="13" t="n">
        <f aca="false">LEN(C100)-LEN(SUBSTITUTE(C100,",",""))+1</f>
        <v>7</v>
      </c>
    </row>
    <row r="101" customFormat="false" ht="15" hidden="false" customHeight="false" outlineLevel="0" collapsed="false">
      <c r="A101" s="13" t="s">
        <v>692</v>
      </c>
      <c r="B101" s="13" t="s">
        <v>806</v>
      </c>
      <c r="C101" s="13" t="s">
        <v>805</v>
      </c>
      <c r="D101" s="13" t="n">
        <f aca="false">LEN(C101)-LEN(SUBSTITUTE(C101,",",""))+1</f>
        <v>1</v>
      </c>
    </row>
    <row r="102" customFormat="false" ht="15" hidden="false" customHeight="false" outlineLevel="0" collapsed="false">
      <c r="A102" s="13" t="s">
        <v>692</v>
      </c>
      <c r="B102" s="13" t="s">
        <v>816</v>
      </c>
      <c r="C102" s="13" t="s">
        <v>815</v>
      </c>
      <c r="D102" s="13" t="n">
        <f aca="false">LEN(C102)-LEN(SUBSTITUTE(C102,",",""))+1</f>
        <v>1</v>
      </c>
    </row>
    <row r="103" customFormat="false" ht="15" hidden="false" customHeight="false" outlineLevel="0" collapsed="false">
      <c r="A103" s="13" t="s">
        <v>692</v>
      </c>
      <c r="B103" s="13" t="s">
        <v>801</v>
      </c>
      <c r="C103" s="13" t="s">
        <v>800</v>
      </c>
      <c r="D103" s="13" t="n">
        <f aca="false">LEN(C103)-LEN(SUBSTITUTE(C103,",",""))+1</f>
        <v>1</v>
      </c>
    </row>
    <row r="104" customFormat="false" ht="15" hidden="false" customHeight="false" outlineLevel="0" collapsed="false">
      <c r="A104" s="13" t="s">
        <v>692</v>
      </c>
      <c r="B104" s="13" t="s">
        <v>722</v>
      </c>
      <c r="C104" s="13" t="s">
        <v>1718</v>
      </c>
      <c r="D104" s="13" t="n">
        <f aca="false">LEN(C104)-LEN(SUBSTITUTE(C104,",",""))+1</f>
        <v>2</v>
      </c>
    </row>
    <row r="105" customFormat="false" ht="15" hidden="false" customHeight="false" outlineLevel="0" collapsed="false">
      <c r="A105" s="13" t="s">
        <v>692</v>
      </c>
      <c r="B105" s="13" t="s">
        <v>729</v>
      </c>
      <c r="C105" s="13" t="s">
        <v>1719</v>
      </c>
      <c r="D105" s="13" t="n">
        <f aca="false">LEN(C105)-LEN(SUBSTITUTE(C105,",",""))+1</f>
        <v>2</v>
      </c>
    </row>
    <row r="106" customFormat="false" ht="15" hidden="false" customHeight="false" outlineLevel="0" collapsed="false">
      <c r="A106" s="13" t="s">
        <v>692</v>
      </c>
      <c r="B106" s="13" t="s">
        <v>733</v>
      </c>
      <c r="C106" s="13" t="s">
        <v>732</v>
      </c>
      <c r="D106" s="13" t="n">
        <f aca="false">LEN(C106)-LEN(SUBSTITUTE(C106,",",""))+1</f>
        <v>1</v>
      </c>
    </row>
    <row r="107" customFormat="false" ht="15" hidden="false" customHeight="false" outlineLevel="0" collapsed="false">
      <c r="A107" s="13" t="s">
        <v>692</v>
      </c>
      <c r="B107" s="13" t="s">
        <v>743</v>
      </c>
      <c r="C107" s="13" t="s">
        <v>742</v>
      </c>
      <c r="D107" s="13" t="n">
        <f aca="false">LEN(C107)-LEN(SUBSTITUTE(C107,",",""))+1</f>
        <v>1</v>
      </c>
    </row>
    <row r="108" customFormat="false" ht="15" hidden="false" customHeight="false" outlineLevel="0" collapsed="false">
      <c r="A108" s="13" t="s">
        <v>692</v>
      </c>
      <c r="B108" s="13" t="s">
        <v>797</v>
      </c>
      <c r="C108" s="13" t="s">
        <v>796</v>
      </c>
      <c r="D108" s="13" t="n">
        <f aca="false">LEN(C108)-LEN(SUBSTITUTE(C108,",",""))+1</f>
        <v>1</v>
      </c>
    </row>
    <row r="109" customFormat="false" ht="15" hidden="false" customHeight="false" outlineLevel="0" collapsed="false">
      <c r="A109" s="13" t="s">
        <v>692</v>
      </c>
      <c r="B109" s="13" t="s">
        <v>784</v>
      </c>
      <c r="C109" s="13" t="s">
        <v>783</v>
      </c>
      <c r="D109" s="13" t="n">
        <f aca="false">LEN(C109)-LEN(SUBSTITUTE(C109,",",""))+1</f>
        <v>1</v>
      </c>
    </row>
    <row r="110" customFormat="false" ht="15" hidden="false" customHeight="false" outlineLevel="0" collapsed="false">
      <c r="A110" s="13" t="s">
        <v>692</v>
      </c>
      <c r="B110" s="13" t="s">
        <v>793</v>
      </c>
      <c r="C110" s="13" t="s">
        <v>792</v>
      </c>
      <c r="D110" s="13" t="n">
        <f aca="false">LEN(C110)-LEN(SUBSTITUTE(C110,",",""))+1</f>
        <v>1</v>
      </c>
    </row>
    <row r="111" customFormat="false" ht="15" hidden="false" customHeight="false" outlineLevel="0" collapsed="false">
      <c r="A111" s="13" t="s">
        <v>692</v>
      </c>
      <c r="B111" s="13" t="s">
        <v>738</v>
      </c>
      <c r="C111" s="13" t="s">
        <v>737</v>
      </c>
      <c r="D111" s="13" t="n">
        <f aca="false">LEN(C111)-LEN(SUBSTITUTE(C111,",",""))+1</f>
        <v>1</v>
      </c>
    </row>
    <row r="112" customFormat="false" ht="15" hidden="false" customHeight="false" outlineLevel="0" collapsed="false">
      <c r="A112" s="13" t="s">
        <v>692</v>
      </c>
      <c r="B112" s="13" t="s">
        <v>713</v>
      </c>
      <c r="C112" s="13" t="s">
        <v>712</v>
      </c>
      <c r="D112" s="13" t="n">
        <f aca="false">LEN(C112)-LEN(SUBSTITUTE(C112,",",""))+1</f>
        <v>1</v>
      </c>
    </row>
    <row r="113" customFormat="false" ht="15" hidden="false" customHeight="false" outlineLevel="0" collapsed="false">
      <c r="A113" s="13" t="s">
        <v>692</v>
      </c>
      <c r="B113" s="13" t="s">
        <v>766</v>
      </c>
      <c r="C113" s="13" t="s">
        <v>765</v>
      </c>
      <c r="D113" s="13" t="n">
        <f aca="false">LEN(C113)-LEN(SUBSTITUTE(C113,",",""))+1</f>
        <v>1</v>
      </c>
    </row>
    <row r="114" customFormat="false" ht="15" hidden="false" customHeight="false" outlineLevel="0" collapsed="false">
      <c r="A114" s="13" t="s">
        <v>692</v>
      </c>
      <c r="B114" s="13" t="s">
        <v>774</v>
      </c>
      <c r="C114" s="13" t="s">
        <v>772</v>
      </c>
      <c r="D114" s="13" t="n">
        <f aca="false">LEN(C114)-LEN(SUBSTITUTE(C114,",",""))+1</f>
        <v>1</v>
      </c>
    </row>
    <row r="115" customFormat="false" ht="15" hidden="false" customHeight="false" outlineLevel="0" collapsed="false">
      <c r="A115" s="13" t="s">
        <v>692</v>
      </c>
      <c r="B115" s="13" t="s">
        <v>779</v>
      </c>
      <c r="C115" s="13" t="s">
        <v>778</v>
      </c>
      <c r="D115" s="13" t="n">
        <f aca="false">LEN(C115)-LEN(SUBSTITUTE(C115,",",""))+1</f>
        <v>1</v>
      </c>
    </row>
    <row r="116" customFormat="false" ht="15" hidden="false" customHeight="false" outlineLevel="0" collapsed="false">
      <c r="A116" s="13" t="s">
        <v>692</v>
      </c>
      <c r="B116" s="13" t="s">
        <v>717</v>
      </c>
      <c r="C116" s="13" t="s">
        <v>716</v>
      </c>
      <c r="D116" s="13" t="n">
        <f aca="false">LEN(C116)-LEN(SUBSTITUTE(C116,",",""))+1</f>
        <v>1</v>
      </c>
    </row>
    <row r="117" customFormat="false" ht="15" hidden="false" customHeight="false" outlineLevel="0" collapsed="false">
      <c r="A117" s="13" t="s">
        <v>692</v>
      </c>
      <c r="B117" s="13" t="s">
        <v>789</v>
      </c>
      <c r="C117" s="13" t="s">
        <v>788</v>
      </c>
      <c r="D117" s="13" t="n">
        <f aca="false">LEN(C117)-LEN(SUBSTITUTE(C117,",",""))+1</f>
        <v>1</v>
      </c>
    </row>
    <row r="118" customFormat="false" ht="15" hidden="false" customHeight="false" outlineLevel="0" collapsed="false">
      <c r="A118" s="13" t="s">
        <v>692</v>
      </c>
      <c r="B118" s="13" t="s">
        <v>748</v>
      </c>
      <c r="C118" s="13" t="s">
        <v>747</v>
      </c>
      <c r="D118" s="13" t="n">
        <f aca="false">LEN(C118)-LEN(SUBSTITUTE(C118,",",""))+1</f>
        <v>1</v>
      </c>
    </row>
    <row r="119" customFormat="false" ht="15" hidden="false" customHeight="false" outlineLevel="0" collapsed="false">
      <c r="A119" s="13" t="s">
        <v>692</v>
      </c>
      <c r="B119" s="13" t="s">
        <v>810</v>
      </c>
      <c r="C119" s="13" t="s">
        <v>809</v>
      </c>
      <c r="D119" s="13" t="n">
        <f aca="false">LEN(C119)-LEN(SUBSTITUTE(C119,",",""))+1</f>
        <v>1</v>
      </c>
    </row>
    <row r="120" customFormat="false" ht="15" hidden="false" customHeight="false" outlineLevel="0" collapsed="false">
      <c r="A120" s="13" t="s">
        <v>692</v>
      </c>
      <c r="B120" s="13" t="s">
        <v>693</v>
      </c>
      <c r="C120" s="13" t="s">
        <v>691</v>
      </c>
      <c r="D120" s="13" t="n">
        <f aca="false">LEN(C120)-LEN(SUBSTITUTE(C120,",",""))+1</f>
        <v>1</v>
      </c>
    </row>
    <row r="121" customFormat="false" ht="15" hidden="false" customHeight="false" outlineLevel="0" collapsed="false">
      <c r="A121" s="13" t="s">
        <v>692</v>
      </c>
      <c r="B121" s="13" t="s">
        <v>698</v>
      </c>
      <c r="C121" s="13" t="s">
        <v>1720</v>
      </c>
      <c r="D121" s="13" t="n">
        <f aca="false">LEN(C121)-LEN(SUBSTITUTE(C121,",",""))+1</f>
        <v>4</v>
      </c>
    </row>
    <row r="122" customFormat="false" ht="15" hidden="false" customHeight="false" outlineLevel="0" collapsed="false">
      <c r="A122" s="13" t="s">
        <v>692</v>
      </c>
      <c r="B122" s="13" t="s">
        <v>752</v>
      </c>
      <c r="C122" s="13" t="s">
        <v>751</v>
      </c>
      <c r="D122" s="13" t="n">
        <f aca="false">LEN(C122)-LEN(SUBSTITUTE(C122,",",""))+1</f>
        <v>1</v>
      </c>
    </row>
    <row r="123" customFormat="false" ht="15" hidden="false" customHeight="false" outlineLevel="0" collapsed="false">
      <c r="A123" s="13" t="s">
        <v>692</v>
      </c>
      <c r="B123" s="13" t="s">
        <v>757</v>
      </c>
      <c r="C123" s="13" t="s">
        <v>756</v>
      </c>
      <c r="D123" s="13" t="n">
        <f aca="false">LEN(C123)-LEN(SUBSTITUTE(C123,",",""))+1</f>
        <v>1</v>
      </c>
    </row>
    <row r="124" customFormat="false" ht="15" hidden="false" customHeight="false" outlineLevel="0" collapsed="false">
      <c r="A124" s="13" t="s">
        <v>692</v>
      </c>
      <c r="B124" s="13" t="s">
        <v>762</v>
      </c>
      <c r="C124" s="13" t="s">
        <v>761</v>
      </c>
      <c r="D124" s="13" t="n">
        <f aca="false">LEN(C124)-LEN(SUBSTITUTE(C124,",",""))+1</f>
        <v>1</v>
      </c>
    </row>
    <row r="125" customFormat="false" ht="15" hidden="false" customHeight="false" outlineLevel="0" collapsed="false">
      <c r="A125" s="13" t="s">
        <v>661</v>
      </c>
      <c r="B125" s="13" t="s">
        <v>667</v>
      </c>
      <c r="C125" s="13" t="s">
        <v>666</v>
      </c>
      <c r="D125" s="13" t="n">
        <f aca="false">LEN(C125)-LEN(SUBSTITUTE(C125,",",""))+1</f>
        <v>1</v>
      </c>
    </row>
    <row r="126" customFormat="false" ht="15" hidden="false" customHeight="false" outlineLevel="0" collapsed="false">
      <c r="A126" s="13" t="s">
        <v>661</v>
      </c>
      <c r="B126" s="13" t="s">
        <v>672</v>
      </c>
      <c r="C126" s="13" t="s">
        <v>671</v>
      </c>
      <c r="D126" s="13" t="n">
        <f aca="false">LEN(C126)-LEN(SUBSTITUTE(C126,",",""))+1</f>
        <v>1</v>
      </c>
    </row>
    <row r="127" customFormat="false" ht="15" hidden="false" customHeight="false" outlineLevel="0" collapsed="false">
      <c r="A127" s="13" t="s">
        <v>661</v>
      </c>
      <c r="B127" s="13" t="s">
        <v>682</v>
      </c>
      <c r="C127" s="13" t="s">
        <v>681</v>
      </c>
      <c r="D127" s="13" t="n">
        <f aca="false">LEN(C127)-LEN(SUBSTITUTE(C127,",",""))+1</f>
        <v>1</v>
      </c>
    </row>
    <row r="128" customFormat="false" ht="15" hidden="false" customHeight="false" outlineLevel="0" collapsed="false">
      <c r="A128" s="13" t="s">
        <v>661</v>
      </c>
      <c r="B128" s="13" t="s">
        <v>677</v>
      </c>
      <c r="C128" s="13" t="s">
        <v>676</v>
      </c>
      <c r="D128" s="13" t="n">
        <f aca="false">LEN(C128)-LEN(SUBSTITUTE(C128,",",""))+1</f>
        <v>1</v>
      </c>
    </row>
    <row r="129" customFormat="false" ht="15" hidden="false" customHeight="false" outlineLevel="0" collapsed="false">
      <c r="A129" s="13" t="s">
        <v>661</v>
      </c>
      <c r="B129" s="13" t="s">
        <v>687</v>
      </c>
      <c r="C129" s="13" t="s">
        <v>686</v>
      </c>
      <c r="D129" s="13" t="n">
        <f aca="false">LEN(C129)-LEN(SUBSTITUTE(C129,",",""))+1</f>
        <v>1</v>
      </c>
    </row>
    <row r="130" customFormat="false" ht="15" hidden="false" customHeight="false" outlineLevel="0" collapsed="false">
      <c r="A130" s="13" t="s">
        <v>661</v>
      </c>
      <c r="B130" s="13" t="s">
        <v>662</v>
      </c>
      <c r="C130" s="13" t="s">
        <v>660</v>
      </c>
      <c r="D130" s="13" t="n">
        <f aca="false">LEN(C130)-LEN(SUBSTITUTE(C130,",",""))+1</f>
        <v>1</v>
      </c>
    </row>
    <row r="131" customFormat="false" ht="15" hidden="false" customHeight="false" outlineLevel="0" collapsed="false">
      <c r="A131" s="13" t="s">
        <v>973</v>
      </c>
      <c r="B131" s="13" t="s">
        <v>974</v>
      </c>
      <c r="C131" s="13" t="s">
        <v>1721</v>
      </c>
      <c r="D131" s="13" t="n">
        <f aca="false">LEN(C131)-LEN(SUBSTITUTE(C131,",",""))+1</f>
        <v>6</v>
      </c>
    </row>
    <row r="132" customFormat="false" ht="15" hidden="false" customHeight="false" outlineLevel="0" collapsed="false">
      <c r="A132" s="13" t="s">
        <v>1435</v>
      </c>
      <c r="B132" s="13" t="s">
        <v>1472</v>
      </c>
      <c r="C132" s="13" t="s">
        <v>1471</v>
      </c>
      <c r="D132" s="13" t="n">
        <f aca="false">LEN(C132)-LEN(SUBSTITUTE(C132,",",""))+1</f>
        <v>1</v>
      </c>
    </row>
    <row r="133" customFormat="false" ht="15" hidden="false" customHeight="false" outlineLevel="0" collapsed="false">
      <c r="A133" s="13" t="s">
        <v>1435</v>
      </c>
      <c r="B133" s="13" t="s">
        <v>895</v>
      </c>
      <c r="C133" s="13" t="s">
        <v>1722</v>
      </c>
      <c r="D133" s="13" t="n">
        <f aca="false">LEN(C133)-LEN(SUBSTITUTE(C133,",",""))+1</f>
        <v>2</v>
      </c>
    </row>
    <row r="134" customFormat="false" ht="15" hidden="false" customHeight="false" outlineLevel="0" collapsed="false">
      <c r="A134" s="13" t="s">
        <v>1435</v>
      </c>
      <c r="B134" s="13" t="s">
        <v>1457</v>
      </c>
      <c r="C134" s="13" t="s">
        <v>1456</v>
      </c>
      <c r="D134" s="13" t="n">
        <f aca="false">LEN(C134)-LEN(SUBSTITUTE(C134,",",""))+1</f>
        <v>1</v>
      </c>
    </row>
    <row r="135" customFormat="false" ht="15" hidden="false" customHeight="false" outlineLevel="0" collapsed="false">
      <c r="A135" s="13" t="s">
        <v>1435</v>
      </c>
      <c r="B135" s="13" t="s">
        <v>929</v>
      </c>
      <c r="C135" s="13" t="s">
        <v>1476</v>
      </c>
      <c r="D135" s="13" t="n">
        <f aca="false">LEN(C135)-LEN(SUBSTITUTE(C135,",",""))+1</f>
        <v>1</v>
      </c>
    </row>
    <row r="136" customFormat="false" ht="15" hidden="false" customHeight="false" outlineLevel="0" collapsed="false">
      <c r="A136" s="13" t="s">
        <v>1435</v>
      </c>
      <c r="B136" s="13" t="s">
        <v>1447</v>
      </c>
      <c r="C136" s="13" t="s">
        <v>1446</v>
      </c>
      <c r="D136" s="13" t="n">
        <f aca="false">LEN(C136)-LEN(SUBSTITUTE(C136,",",""))+1</f>
        <v>1</v>
      </c>
    </row>
    <row r="137" customFormat="false" ht="15" hidden="false" customHeight="false" outlineLevel="0" collapsed="false">
      <c r="A137" s="13" t="s">
        <v>1435</v>
      </c>
      <c r="B137" s="13" t="s">
        <v>1452</v>
      </c>
      <c r="C137" s="13" t="s">
        <v>1451</v>
      </c>
      <c r="D137" s="13" t="n">
        <f aca="false">LEN(C137)-LEN(SUBSTITUTE(C137,",",""))+1</f>
        <v>1</v>
      </c>
    </row>
    <row r="138" customFormat="false" ht="15" hidden="false" customHeight="false" outlineLevel="0" collapsed="false">
      <c r="A138" s="13" t="s">
        <v>1435</v>
      </c>
      <c r="B138" s="13" t="s">
        <v>1462</v>
      </c>
      <c r="C138" s="13" t="s">
        <v>1461</v>
      </c>
      <c r="D138" s="13" t="n">
        <f aca="false">LEN(C138)-LEN(SUBSTITUTE(C138,",",""))+1</f>
        <v>1</v>
      </c>
    </row>
    <row r="139" customFormat="false" ht="15" hidden="false" customHeight="false" outlineLevel="0" collapsed="false">
      <c r="A139" s="13" t="s">
        <v>1435</v>
      </c>
      <c r="B139" s="13" t="s">
        <v>1436</v>
      </c>
      <c r="C139" s="13" t="s">
        <v>1434</v>
      </c>
      <c r="D139" s="13" t="n">
        <f aca="false">LEN(C139)-LEN(SUBSTITUTE(C139,",",""))+1</f>
        <v>1</v>
      </c>
    </row>
    <row r="140" customFormat="false" ht="15" hidden="false" customHeight="false" outlineLevel="0" collapsed="false">
      <c r="A140" s="13" t="s">
        <v>1435</v>
      </c>
      <c r="B140" s="13" t="s">
        <v>1467</v>
      </c>
      <c r="C140" s="13" t="s">
        <v>1466</v>
      </c>
      <c r="D140" s="13" t="n">
        <f aca="false">LEN(C140)-LEN(SUBSTITUTE(C140,",",""))+1</f>
        <v>1</v>
      </c>
    </row>
    <row r="141" customFormat="false" ht="35.05" hidden="false" customHeight="false" outlineLevel="0" collapsed="false">
      <c r="A141" s="13" t="s">
        <v>636</v>
      </c>
      <c r="B141" s="13" t="s">
        <v>642</v>
      </c>
      <c r="C141" s="13" t="s">
        <v>641</v>
      </c>
      <c r="D141" s="13" t="n">
        <f aca="false">LEN(C141)-LEN(SUBSTITUTE(C141,",",""))+1</f>
        <v>1</v>
      </c>
    </row>
    <row r="142" customFormat="false" ht="35.05" hidden="false" customHeight="false" outlineLevel="0" collapsed="false">
      <c r="A142" s="13" t="s">
        <v>636</v>
      </c>
      <c r="B142" s="13" t="s">
        <v>646</v>
      </c>
      <c r="C142" s="13" t="s">
        <v>645</v>
      </c>
      <c r="D142" s="13" t="n">
        <f aca="false">LEN(C142)-LEN(SUBSTITUTE(C142,",",""))+1</f>
        <v>1</v>
      </c>
    </row>
    <row r="143" customFormat="false" ht="35.05" hidden="false" customHeight="false" outlineLevel="0" collapsed="false">
      <c r="A143" s="13" t="s">
        <v>636</v>
      </c>
      <c r="B143" s="13" t="s">
        <v>637</v>
      </c>
      <c r="C143" s="13" t="s">
        <v>635</v>
      </c>
      <c r="D143" s="13" t="n">
        <f aca="false">LEN(C143)-LEN(SUBSTITUTE(C143,",",""))+1</f>
        <v>1</v>
      </c>
    </row>
    <row r="144" customFormat="false" ht="35.05" hidden="false" customHeight="false" outlineLevel="0" collapsed="false">
      <c r="A144" s="13" t="s">
        <v>636</v>
      </c>
      <c r="B144" s="13" t="s">
        <v>656</v>
      </c>
      <c r="C144" s="13" t="s">
        <v>655</v>
      </c>
      <c r="D144" s="13" t="n">
        <f aca="false">LEN(C144)-LEN(SUBSTITUTE(C144,",",""))+1</f>
        <v>1</v>
      </c>
    </row>
    <row r="145" customFormat="false" ht="35.05" hidden="false" customHeight="false" outlineLevel="0" collapsed="false">
      <c r="A145" s="13" t="s">
        <v>636</v>
      </c>
      <c r="B145" s="13" t="s">
        <v>651</v>
      </c>
      <c r="C145" s="13" t="s">
        <v>650</v>
      </c>
      <c r="D145" s="13" t="n">
        <f aca="false">LEN(C145)-LEN(SUBSTITUTE(C145,",",""))+1</f>
        <v>1</v>
      </c>
    </row>
    <row r="146" customFormat="false" ht="15" hidden="false" customHeight="false" outlineLevel="0" collapsed="false">
      <c r="A146" s="13" t="s">
        <v>997</v>
      </c>
      <c r="B146" s="13" t="s">
        <v>1067</v>
      </c>
      <c r="C146" s="13" t="s">
        <v>1066</v>
      </c>
      <c r="D146" s="13" t="n">
        <f aca="false">LEN(C146)-LEN(SUBSTITUTE(C146,",",""))+1</f>
        <v>1</v>
      </c>
    </row>
    <row r="147" customFormat="false" ht="15" hidden="false" customHeight="false" outlineLevel="0" collapsed="false">
      <c r="A147" s="13" t="s">
        <v>997</v>
      </c>
      <c r="B147" s="13" t="s">
        <v>1087</v>
      </c>
      <c r="C147" s="13" t="s">
        <v>1086</v>
      </c>
      <c r="D147" s="13" t="n">
        <f aca="false">LEN(C147)-LEN(SUBSTITUTE(C147,",",""))+1</f>
        <v>1</v>
      </c>
    </row>
    <row r="148" customFormat="false" ht="15" hidden="false" customHeight="false" outlineLevel="0" collapsed="false">
      <c r="A148" s="13" t="s">
        <v>997</v>
      </c>
      <c r="B148" s="13" t="s">
        <v>1082</v>
      </c>
      <c r="C148" s="13" t="s">
        <v>1081</v>
      </c>
      <c r="D148" s="13" t="n">
        <f aca="false">LEN(C148)-LEN(SUBSTITUTE(C148,",",""))+1</f>
        <v>1</v>
      </c>
    </row>
    <row r="149" customFormat="false" ht="15" hidden="false" customHeight="false" outlineLevel="0" collapsed="false">
      <c r="A149" s="13" t="s">
        <v>997</v>
      </c>
      <c r="B149" s="13" t="s">
        <v>1092</v>
      </c>
      <c r="C149" s="13" t="s">
        <v>1091</v>
      </c>
      <c r="D149" s="13" t="n">
        <f aca="false">LEN(C149)-LEN(SUBSTITUTE(C149,",",""))+1</f>
        <v>1</v>
      </c>
    </row>
    <row r="150" customFormat="false" ht="15" hidden="false" customHeight="false" outlineLevel="0" collapsed="false">
      <c r="A150" s="13" t="s">
        <v>997</v>
      </c>
      <c r="B150" s="13" t="s">
        <v>1057</v>
      </c>
      <c r="C150" s="13" t="s">
        <v>1056</v>
      </c>
      <c r="D150" s="13" t="n">
        <f aca="false">LEN(C150)-LEN(SUBSTITUTE(C150,",",""))+1</f>
        <v>1</v>
      </c>
    </row>
    <row r="151" customFormat="false" ht="15" hidden="false" customHeight="false" outlineLevel="0" collapsed="false">
      <c r="A151" s="13" t="s">
        <v>997</v>
      </c>
      <c r="B151" s="13" t="s">
        <v>1062</v>
      </c>
      <c r="C151" s="13" t="s">
        <v>1061</v>
      </c>
      <c r="D151" s="13" t="n">
        <f aca="false">LEN(C151)-LEN(SUBSTITUTE(C151,",",""))+1</f>
        <v>1</v>
      </c>
    </row>
    <row r="152" customFormat="false" ht="15" hidden="false" customHeight="false" outlineLevel="0" collapsed="false">
      <c r="A152" s="13" t="s">
        <v>997</v>
      </c>
      <c r="B152" s="13" t="s">
        <v>1124</v>
      </c>
      <c r="C152" s="13" t="s">
        <v>1123</v>
      </c>
      <c r="D152" s="13" t="n">
        <f aca="false">LEN(C152)-LEN(SUBSTITUTE(C152,",",""))+1</f>
        <v>1</v>
      </c>
    </row>
    <row r="153" customFormat="false" ht="15" hidden="false" customHeight="false" outlineLevel="0" collapsed="false">
      <c r="A153" s="13" t="s">
        <v>997</v>
      </c>
      <c r="B153" s="13" t="s">
        <v>1013</v>
      </c>
      <c r="C153" s="13" t="s">
        <v>1723</v>
      </c>
      <c r="D153" s="13" t="n">
        <f aca="false">LEN(C153)-LEN(SUBSTITUTE(C153,",",""))+1</f>
        <v>4</v>
      </c>
    </row>
    <row r="154" customFormat="false" ht="23.85" hidden="false" customHeight="false" outlineLevel="0" collapsed="false">
      <c r="A154" s="13" t="s">
        <v>997</v>
      </c>
      <c r="B154" s="13" t="s">
        <v>1036</v>
      </c>
      <c r="C154" s="13" t="s">
        <v>1035</v>
      </c>
      <c r="D154" s="13" t="n">
        <f aca="false">LEN(C154)-LEN(SUBSTITUTE(C154,",",""))+1</f>
        <v>1</v>
      </c>
    </row>
    <row r="155" customFormat="false" ht="23.85" hidden="false" customHeight="false" outlineLevel="0" collapsed="false">
      <c r="A155" s="13" t="s">
        <v>997</v>
      </c>
      <c r="B155" s="13" t="s">
        <v>1109</v>
      </c>
      <c r="C155" s="13" t="s">
        <v>1108</v>
      </c>
      <c r="D155" s="13" t="n">
        <f aca="false">LEN(C155)-LEN(SUBSTITUTE(C155,",",""))+1</f>
        <v>1</v>
      </c>
    </row>
    <row r="156" customFormat="false" ht="15" hidden="false" customHeight="false" outlineLevel="0" collapsed="false">
      <c r="A156" s="13" t="s">
        <v>997</v>
      </c>
      <c r="B156" s="13" t="s">
        <v>1119</v>
      </c>
      <c r="C156" s="13" t="s">
        <v>1118</v>
      </c>
      <c r="D156" s="13" t="n">
        <f aca="false">LEN(C156)-LEN(SUBSTITUTE(C156,",",""))+1</f>
        <v>1</v>
      </c>
    </row>
    <row r="157" customFormat="false" ht="15" hidden="false" customHeight="false" outlineLevel="0" collapsed="false">
      <c r="A157" s="13" t="s">
        <v>997</v>
      </c>
      <c r="B157" s="13" t="s">
        <v>1027</v>
      </c>
      <c r="C157" s="13" t="s">
        <v>1026</v>
      </c>
      <c r="D157" s="13" t="n">
        <f aca="false">LEN(C157)-LEN(SUBSTITUTE(C157,",",""))+1</f>
        <v>1</v>
      </c>
    </row>
    <row r="158" customFormat="false" ht="15" hidden="false" customHeight="false" outlineLevel="0" collapsed="false">
      <c r="A158" s="13" t="s">
        <v>997</v>
      </c>
      <c r="B158" s="13" t="s">
        <v>1022</v>
      </c>
      <c r="C158" s="13" t="s">
        <v>1021</v>
      </c>
      <c r="D158" s="13" t="n">
        <f aca="false">LEN(C158)-LEN(SUBSTITUTE(C158,",",""))+1</f>
        <v>1</v>
      </c>
    </row>
    <row r="159" customFormat="false" ht="15" hidden="false" customHeight="false" outlineLevel="0" collapsed="false">
      <c r="A159" s="13" t="s">
        <v>997</v>
      </c>
      <c r="B159" s="13" t="s">
        <v>998</v>
      </c>
      <c r="C159" s="13" t="s">
        <v>1724</v>
      </c>
      <c r="D159" s="13" t="n">
        <f aca="false">LEN(C159)-LEN(SUBSTITUTE(C159,",",""))+1</f>
        <v>4</v>
      </c>
    </row>
    <row r="160" customFormat="false" ht="15" hidden="false" customHeight="false" outlineLevel="0" collapsed="false">
      <c r="A160" s="13" t="s">
        <v>997</v>
      </c>
      <c r="B160" s="13" t="s">
        <v>1114</v>
      </c>
      <c r="C160" s="13" t="s">
        <v>1113</v>
      </c>
      <c r="D160" s="13" t="n">
        <f aca="false">LEN(C160)-LEN(SUBSTITUTE(C160,",",""))+1</f>
        <v>1</v>
      </c>
    </row>
    <row r="161" customFormat="false" ht="15" hidden="false" customHeight="false" outlineLevel="0" collapsed="false">
      <c r="A161" s="13" t="s">
        <v>997</v>
      </c>
      <c r="B161" s="13" t="s">
        <v>929</v>
      </c>
      <c r="C161" s="13" t="s">
        <v>1106</v>
      </c>
      <c r="D161" s="13" t="n">
        <f aca="false">LEN(C161)-LEN(SUBSTITUTE(C161,",",""))+1</f>
        <v>1</v>
      </c>
    </row>
    <row r="162" customFormat="false" ht="15" hidden="false" customHeight="false" outlineLevel="0" collapsed="false">
      <c r="A162" s="13" t="s">
        <v>997</v>
      </c>
      <c r="B162" s="13" t="s">
        <v>1052</v>
      </c>
      <c r="C162" s="13" t="s">
        <v>1051</v>
      </c>
      <c r="D162" s="13" t="n">
        <f aca="false">LEN(C162)-LEN(SUBSTITUTE(C162,",",""))+1</f>
        <v>1</v>
      </c>
    </row>
    <row r="163" customFormat="false" ht="15" hidden="false" customHeight="false" outlineLevel="0" collapsed="false">
      <c r="A163" s="13" t="s">
        <v>997</v>
      </c>
      <c r="B163" s="13" t="s">
        <v>1041</v>
      </c>
      <c r="C163" s="13" t="s">
        <v>1040</v>
      </c>
      <c r="D163" s="13" t="n">
        <f aca="false">LEN(C163)-LEN(SUBSTITUTE(C163,",",""))+1</f>
        <v>1</v>
      </c>
    </row>
    <row r="164" customFormat="false" ht="15" hidden="false" customHeight="false" outlineLevel="0" collapsed="false">
      <c r="A164" s="13" t="s">
        <v>997</v>
      </c>
      <c r="B164" s="13" t="s">
        <v>1031</v>
      </c>
      <c r="C164" s="13" t="s">
        <v>1030</v>
      </c>
      <c r="D164" s="13" t="n">
        <f aca="false">LEN(C164)-LEN(SUBSTITUTE(C164,",",""))+1</f>
        <v>1</v>
      </c>
    </row>
    <row r="165" customFormat="false" ht="15" hidden="false" customHeight="false" outlineLevel="0" collapsed="false">
      <c r="A165" s="13" t="s">
        <v>997</v>
      </c>
      <c r="B165" s="13" t="s">
        <v>1046</v>
      </c>
      <c r="C165" s="13" t="s">
        <v>1045</v>
      </c>
      <c r="D165" s="13" t="n">
        <f aca="false">LEN(C165)-LEN(SUBSTITUTE(C165,",",""))+1</f>
        <v>1</v>
      </c>
    </row>
    <row r="166" customFormat="false" ht="15" hidden="false" customHeight="false" outlineLevel="0" collapsed="false">
      <c r="A166" s="13" t="s">
        <v>997</v>
      </c>
      <c r="B166" s="13" t="s">
        <v>1097</v>
      </c>
      <c r="C166" s="13" t="s">
        <v>1096</v>
      </c>
      <c r="D166" s="13" t="n">
        <f aca="false">LEN(C166)-LEN(SUBSTITUTE(C166,",",""))+1</f>
        <v>1</v>
      </c>
    </row>
    <row r="167" customFormat="false" ht="23.85" hidden="false" customHeight="false" outlineLevel="0" collapsed="false">
      <c r="A167" s="13" t="s">
        <v>997</v>
      </c>
      <c r="B167" s="13" t="s">
        <v>1077</v>
      </c>
      <c r="C167" s="13" t="s">
        <v>1076</v>
      </c>
      <c r="D167" s="13" t="n">
        <f aca="false">LEN(C167)-LEN(SUBSTITUTE(C167,",",""))+1</f>
        <v>1</v>
      </c>
    </row>
    <row r="168" customFormat="false" ht="15" hidden="false" customHeight="false" outlineLevel="0" collapsed="false">
      <c r="A168" s="13" t="s">
        <v>997</v>
      </c>
      <c r="B168" s="13" t="s">
        <v>1072</v>
      </c>
      <c r="C168" s="13" t="s">
        <v>1071</v>
      </c>
      <c r="D168" s="13" t="n">
        <f aca="false">LEN(C168)-LEN(SUBSTITUTE(C168,",",""))+1</f>
        <v>1</v>
      </c>
    </row>
    <row r="169" customFormat="false" ht="15" hidden="false" customHeight="false" outlineLevel="0" collapsed="false">
      <c r="A169" s="13" t="s">
        <v>997</v>
      </c>
      <c r="B169" s="13" t="s">
        <v>1102</v>
      </c>
      <c r="C169" s="13" t="s">
        <v>1101</v>
      </c>
      <c r="D169" s="13" t="n">
        <f aca="false">LEN(C169)-LEN(SUBSTITUTE(C169,",",""))+1</f>
        <v>1</v>
      </c>
    </row>
    <row r="170" customFormat="false" ht="15" hidden="false" customHeight="false" outlineLevel="0" collapsed="false">
      <c r="A170" s="13" t="s">
        <v>608</v>
      </c>
      <c r="B170" s="13" t="s">
        <v>619</v>
      </c>
      <c r="C170" s="13" t="s">
        <v>618</v>
      </c>
      <c r="D170" s="13" t="n">
        <f aca="false">LEN(C170)-LEN(SUBSTITUTE(C170,",",""))+1</f>
        <v>1</v>
      </c>
    </row>
    <row r="171" customFormat="false" ht="15" hidden="false" customHeight="false" outlineLevel="0" collapsed="false">
      <c r="A171" s="13" t="s">
        <v>608</v>
      </c>
      <c r="B171" s="13" t="s">
        <v>614</v>
      </c>
      <c r="C171" s="13" t="s">
        <v>613</v>
      </c>
      <c r="D171" s="13" t="n">
        <f aca="false">LEN(C171)-LEN(SUBSTITUTE(C171,",",""))+1</f>
        <v>1</v>
      </c>
    </row>
    <row r="172" customFormat="false" ht="15" hidden="false" customHeight="false" outlineLevel="0" collapsed="false">
      <c r="A172" s="13" t="s">
        <v>608</v>
      </c>
      <c r="B172" s="13" t="s">
        <v>609</v>
      </c>
      <c r="C172" s="13" t="s">
        <v>607</v>
      </c>
      <c r="D172" s="13" t="n">
        <f aca="false">LEN(C172)-LEN(SUBSTITUTE(C172,",",""))+1</f>
        <v>1</v>
      </c>
    </row>
    <row r="173" customFormat="false" ht="15" hidden="false" customHeight="false" outlineLevel="0" collapsed="false">
      <c r="A173" s="13" t="s">
        <v>608</v>
      </c>
      <c r="B173" s="13" t="s">
        <v>629</v>
      </c>
      <c r="C173" s="13" t="s">
        <v>628</v>
      </c>
      <c r="D173" s="13" t="n">
        <f aca="false">LEN(C173)-LEN(SUBSTITUTE(C173,",",""))+1</f>
        <v>1</v>
      </c>
    </row>
    <row r="174" customFormat="false" ht="23.85" hidden="false" customHeight="false" outlineLevel="0" collapsed="false">
      <c r="A174" s="13" t="s">
        <v>608</v>
      </c>
      <c r="B174" s="13" t="s">
        <v>624</v>
      </c>
      <c r="C174" s="13" t="s">
        <v>623</v>
      </c>
      <c r="D174" s="13" t="n">
        <f aca="false">LEN(C174)-LEN(SUBSTITUTE(C174,",",""))+1</f>
        <v>1</v>
      </c>
    </row>
    <row r="175" customFormat="false" ht="15" hidden="false" customHeight="false" outlineLevel="0" collapsed="false">
      <c r="A175" s="13" t="s">
        <v>894</v>
      </c>
      <c r="B175" s="13" t="s">
        <v>933</v>
      </c>
      <c r="C175" s="13" t="s">
        <v>932</v>
      </c>
      <c r="D175" s="13" t="n">
        <f aca="false">LEN(C175)-LEN(SUBSTITUTE(C175,",",""))+1</f>
        <v>1</v>
      </c>
    </row>
    <row r="176" customFormat="false" ht="15" hidden="false" customHeight="false" outlineLevel="0" collapsed="false">
      <c r="A176" s="13" t="s">
        <v>894</v>
      </c>
      <c r="B176" s="13" t="s">
        <v>938</v>
      </c>
      <c r="C176" s="13" t="s">
        <v>937</v>
      </c>
      <c r="D176" s="13" t="n">
        <f aca="false">LEN(C176)-LEN(SUBSTITUTE(C176,",",""))+1</f>
        <v>1</v>
      </c>
    </row>
    <row r="177" customFormat="false" ht="15" hidden="false" customHeight="false" outlineLevel="0" collapsed="false">
      <c r="A177" s="13" t="s">
        <v>894</v>
      </c>
      <c r="B177" s="13" t="s">
        <v>943</v>
      </c>
      <c r="C177" s="13" t="s">
        <v>942</v>
      </c>
      <c r="D177" s="13" t="n">
        <f aca="false">LEN(C177)-LEN(SUBSTITUTE(C177,",",""))+1</f>
        <v>1</v>
      </c>
    </row>
    <row r="178" customFormat="false" ht="15" hidden="false" customHeight="false" outlineLevel="0" collapsed="false">
      <c r="A178" s="13" t="s">
        <v>894</v>
      </c>
      <c r="B178" s="13" t="s">
        <v>948</v>
      </c>
      <c r="C178" s="13" t="s">
        <v>947</v>
      </c>
      <c r="D178" s="13" t="n">
        <f aca="false">LEN(C178)-LEN(SUBSTITUTE(C178,",",""))+1</f>
        <v>1</v>
      </c>
    </row>
    <row r="179" customFormat="false" ht="15" hidden="false" customHeight="false" outlineLevel="0" collapsed="false">
      <c r="A179" s="13" t="s">
        <v>894</v>
      </c>
      <c r="B179" s="13" t="s">
        <v>958</v>
      </c>
      <c r="C179" s="13" t="s">
        <v>957</v>
      </c>
      <c r="D179" s="13" t="n">
        <f aca="false">LEN(C179)-LEN(SUBSTITUTE(C179,",",""))+1</f>
        <v>1</v>
      </c>
    </row>
    <row r="180" customFormat="false" ht="15" hidden="false" customHeight="false" outlineLevel="0" collapsed="false">
      <c r="A180" s="13" t="s">
        <v>894</v>
      </c>
      <c r="B180" s="13" t="s">
        <v>953</v>
      </c>
      <c r="C180" s="13" t="s">
        <v>952</v>
      </c>
      <c r="D180" s="13" t="n">
        <f aca="false">LEN(C180)-LEN(SUBSTITUTE(C180,",",""))+1</f>
        <v>1</v>
      </c>
    </row>
    <row r="181" customFormat="false" ht="15" hidden="false" customHeight="false" outlineLevel="0" collapsed="false">
      <c r="A181" s="13" t="s">
        <v>894</v>
      </c>
      <c r="B181" s="13" t="s">
        <v>895</v>
      </c>
      <c r="C181" s="13" t="s">
        <v>1725</v>
      </c>
      <c r="D181" s="13" t="n">
        <f aca="false">LEN(C181)-LEN(SUBSTITUTE(C181,",",""))+1</f>
        <v>4</v>
      </c>
    </row>
    <row r="182" customFormat="false" ht="15" hidden="false" customHeight="false" outlineLevel="0" collapsed="false">
      <c r="A182" s="13" t="s">
        <v>894</v>
      </c>
      <c r="B182" s="13" t="s">
        <v>968</v>
      </c>
      <c r="C182" s="13" t="s">
        <v>967</v>
      </c>
      <c r="D182" s="13" t="n">
        <f aca="false">LEN(C182)-LEN(SUBSTITUTE(C182,",",""))+1</f>
        <v>1</v>
      </c>
    </row>
    <row r="183" customFormat="false" ht="15" hidden="false" customHeight="false" outlineLevel="0" collapsed="false">
      <c r="A183" s="13" t="s">
        <v>894</v>
      </c>
      <c r="B183" s="13" t="s">
        <v>929</v>
      </c>
      <c r="C183" s="13" t="s">
        <v>928</v>
      </c>
      <c r="D183" s="13" t="n">
        <f aca="false">LEN(C183)-LEN(SUBSTITUTE(C183,",",""))+1</f>
        <v>1</v>
      </c>
    </row>
    <row r="184" customFormat="false" ht="15" hidden="false" customHeight="false" outlineLevel="0" collapsed="false">
      <c r="A184" s="13" t="s">
        <v>894</v>
      </c>
      <c r="B184" s="13" t="s">
        <v>909</v>
      </c>
      <c r="C184" s="13" t="s">
        <v>908</v>
      </c>
      <c r="D184" s="13" t="n">
        <f aca="false">LEN(C184)-LEN(SUBSTITUTE(C184,",",""))+1</f>
        <v>1</v>
      </c>
    </row>
    <row r="185" customFormat="false" ht="15" hidden="false" customHeight="false" outlineLevel="0" collapsed="false">
      <c r="A185" s="13" t="s">
        <v>894</v>
      </c>
      <c r="B185" s="13" t="s">
        <v>963</v>
      </c>
      <c r="C185" s="13" t="s">
        <v>962</v>
      </c>
      <c r="D185" s="13" t="n">
        <f aca="false">LEN(C185)-LEN(SUBSTITUTE(C185,",",""))+1</f>
        <v>1</v>
      </c>
    </row>
    <row r="186" customFormat="false" ht="15" hidden="false" customHeight="false" outlineLevel="0" collapsed="false">
      <c r="A186" s="13" t="s">
        <v>894</v>
      </c>
      <c r="B186" s="13" t="s">
        <v>919</v>
      </c>
      <c r="C186" s="13" t="s">
        <v>918</v>
      </c>
      <c r="D186" s="13" t="n">
        <f aca="false">LEN(C186)-LEN(SUBSTITUTE(C186,",",""))+1</f>
        <v>1</v>
      </c>
    </row>
    <row r="187" customFormat="false" ht="15" hidden="false" customHeight="false" outlineLevel="0" collapsed="false">
      <c r="A187" s="13" t="s">
        <v>894</v>
      </c>
      <c r="B187" s="13" t="s">
        <v>924</v>
      </c>
      <c r="C187" s="13" t="s">
        <v>923</v>
      </c>
      <c r="D187" s="13" t="n">
        <f aca="false">LEN(C187)-LEN(SUBSTITUTE(C187,",",""))+1</f>
        <v>1</v>
      </c>
    </row>
    <row r="188" customFormat="false" ht="15" hidden="false" customHeight="false" outlineLevel="0" collapsed="false">
      <c r="A188" s="13" t="s">
        <v>894</v>
      </c>
      <c r="B188" s="13" t="s">
        <v>914</v>
      </c>
      <c r="C188" s="13" t="s">
        <v>913</v>
      </c>
      <c r="D188" s="13" t="n">
        <f aca="false">LEN(C188)-LEN(SUBSTITUTE(C188,",",""))+1</f>
        <v>1</v>
      </c>
    </row>
  </sheetData>
  <autoFilter ref="A1:D1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2026-10-18T05:13:05Z</dcterms:created>
  <dc:creator>openpyxl</dc:creator>
  <dc:description/>
  <dc:language>en-US</dc:language>
  <cp:lastModifiedBy/>
  <dcterms:modified xsi:type="dcterms:W3CDTF">2026-10-18T05:13:05Z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